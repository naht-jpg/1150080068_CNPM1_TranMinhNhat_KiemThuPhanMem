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iemThuPhanMem\BTTuan5\"/>
    </mc:Choice>
  </mc:AlternateContent>
  <xr:revisionPtr revIDLastSave="0" documentId="13_ncr:1_{6938ABC6-ABE7-4C60-9023-A31AFF59FB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i1" sheetId="1" r:id="rId1"/>
    <sheet name="TestSummaryReport Bai1" sheetId="6" r:id="rId2"/>
    <sheet name="Bai2" sheetId="2" r:id="rId3"/>
    <sheet name="TestSummaryReport Bai2" sheetId="7" r:id="rId4"/>
    <sheet name="Bai3" sheetId="3" r:id="rId5"/>
    <sheet name="TestSummaryReport Bai3" sheetId="8" r:id="rId6"/>
    <sheet name="Bai4" sheetId="4" r:id="rId7"/>
    <sheet name="TestSummaryReport Bai4" sheetId="9" r:id="rId8"/>
    <sheet name="Bai5" sheetId="5" r:id="rId9"/>
    <sheet name="TestSummaryReport Bai5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9" i="8" l="1"/>
  <c r="E19" i="9"/>
  <c r="F19" i="9"/>
  <c r="G19" i="9"/>
  <c r="H19" i="9"/>
  <c r="I19" i="9"/>
  <c r="J19" i="9"/>
  <c r="E21" i="10"/>
  <c r="F21" i="10"/>
  <c r="G21" i="10"/>
  <c r="H21" i="10"/>
  <c r="I21" i="10"/>
  <c r="J21" i="10"/>
  <c r="D21" i="10"/>
  <c r="K15" i="6"/>
  <c r="D19" i="9"/>
  <c r="J19" i="8"/>
  <c r="I19" i="8"/>
  <c r="H19" i="8"/>
  <c r="G19" i="8"/>
  <c r="F19" i="8"/>
  <c r="E19" i="8"/>
  <c r="D19" i="8"/>
  <c r="J14" i="7"/>
  <c r="I14" i="7"/>
  <c r="H14" i="7"/>
  <c r="G14" i="7"/>
  <c r="F14" i="7"/>
  <c r="E14" i="7"/>
  <c r="D14" i="7"/>
  <c r="E15" i="6"/>
  <c r="F15" i="6"/>
  <c r="G15" i="6"/>
  <c r="H15" i="6"/>
  <c r="I15" i="6"/>
  <c r="J15" i="6"/>
  <c r="D15" i="6"/>
</calcChain>
</file>

<file path=xl/sharedStrings.xml><?xml version="1.0" encoding="utf-8"?>
<sst xmlns="http://schemas.openxmlformats.org/spreadsheetml/2006/main" count="851" uniqueCount="407">
  <si>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</si>
  <si>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</si>
  <si>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</si>
  <si>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</si>
  <si>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</si>
  <si>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</si>
  <si>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</si>
  <si>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</si>
  <si>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</t>
  </si>
  <si>
    <t>S #</t>
  </si>
  <si>
    <t>Prerequisites:</t>
  </si>
  <si>
    <t>Test Data Requirement</t>
  </si>
  <si>
    <t>Test Conditions</t>
  </si>
  <si>
    <t>Pass / Fail / Not executed /
Suspended</t>
  </si>
  <si>
    <t>BA_01</t>
  </si>
  <si>
    <t>Trần Minh Nhật</t>
  </si>
  <si>
    <t>2 (hoặc 3 theo đề - @Ignore)</t>
  </si>
  <si>
    <t>Suspended</t>
  </si>
  <si>
    <t>Đếm số lần gọi phương thức</t>
  </si>
  <si>
    <t>Gọi factorial(0) - Kiểm tra giai thừa của 0</t>
  </si>
  <si>
    <t>Gọi factorial(1) - Kiểm tra giai thừa của 1</t>
  </si>
  <si>
    <t>Gọi factorial(5) - Kiểm tra giai thừa của 5</t>
  </si>
  <si>
    <t>Gọi factorial(-1) - Kiểm tra số âm</t>
  </si>
  <si>
    <t>Throw IllegalArgumentException</t>
  </si>
  <si>
    <t>Gọi plus(1, 1) - Kiểm tra tính tổng</t>
  </si>
  <si>
    <t>Kiểm tra biến calls sau khi gọi các phương thức</t>
  </si>
  <si>
    <t>Giá trị n = 0, 1, 5 cho test factorial()</t>
  </si>
  <si>
    <t>Giá trị n = -1 cho test factorialNegative() (expected IllegalArgumentException)</t>
  </si>
  <si>
    <t>Giá trị num1 = 1, num2 = 2 cho test plus()</t>
  </si>
  <si>
    <t>Đối tượng MathFunc được khởi tạo trước mỗi test (@Before)</t>
  </si>
  <si>
    <t>Kiểm thử các phương thức của lớp MathFunc bao gồm: factorial(), plus() và getCalls()</t>
  </si>
  <si>
    <t>MathFuncTest</t>
  </si>
  <si>
    <t>JDK 21 đã được cài đặt</t>
  </si>
  <si>
    <t>Maven đã được cài đặt và cấu hình</t>
  </si>
  <si>
    <t>JUnit 4.13.2 dependency đã được thêm vào pom.xml</t>
  </si>
  <si>
    <t>Project đã được compile thành công (mvn compile test-compile)</t>
  </si>
  <si>
    <t>ID</t>
  </si>
  <si>
    <t>TC01</t>
  </si>
  <si>
    <t>TC02</t>
  </si>
  <si>
    <t>TC03</t>
  </si>
  <si>
    <t>TC04</t>
  </si>
  <si>
    <t>TC05</t>
  </si>
  <si>
    <t>TC06</t>
  </si>
  <si>
    <t>TEST REPORT</t>
  </si>
  <si>
    <t>Project Name</t>
  </si>
  <si>
    <t>Creator</t>
  </si>
  <si>
    <t>Group ID</t>
  </si>
  <si>
    <t>Approver</t>
  </si>
  <si>
    <t>Note</t>
  </si>
  <si>
    <t>Test Coverage</t>
  </si>
  <si>
    <t>Successful Coverage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</si>
  <si>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</si>
  <si>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</si>
  <si>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</si>
  <si>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</si>
  <si>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</si>
  <si>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</si>
  <si>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</si>
  <si>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</si>
  <si>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Total</t>
  </si>
  <si>
    <t/>
  </si>
  <si>
    <t>Bộ dữ liệu</t>
  </si>
  <si>
    <t>factorial(5), plus(1,2)</t>
  </si>
  <si>
    <t>Pass</t>
  </si>
  <si>
    <t>1,1</t>
  </si>
  <si>
    <t>IllegalArgumentException</t>
  </si>
  <si>
    <t>0 -&gt; 1 -&gt; 2</t>
  </si>
  <si>
    <t>BA_02</t>
  </si>
  <si>
    <t xml:space="preserve">	JunitTest (Test Suite)</t>
  </si>
  <si>
    <t>Kiểm thử JUnit Test Suite sử dụng @RunWith @Suite với 2 lớp SuiteTest1.java và SuiteTest2.java</t>
  </si>
  <si>
    <t xml:space="preserve">	Lớp JUnitMessage.java đã được tạo trong src/main/java</t>
  </si>
  <si>
    <t>message = "Fpoly" cho test JUnitMessage</t>
  </si>
  <si>
    <t>message = "Hi!Fpoly" cho test printHiMessage</t>
  </si>
  <si>
    <t>expected = "Y", actual = "Y" cho test createAndSetName</t>
  </si>
  <si>
    <t>JUnitMessage object được khởi tạo với constructor</t>
  </si>
  <si>
    <t>testJUnitMessage() - Kiểm tra xuất chuỗi và ném ArithmeticException</t>
  </si>
  <si>
    <t xml:space="preserve">testJUnitHiMessage() - Kiểm tra in chuỗi "Hi!" + message	</t>
  </si>
  <si>
    <t xml:space="preserve">createAndSetName() - Kiểm tra so sánh 2 chuỗi	</t>
  </si>
  <si>
    <t>message = "Fpoly"</t>
  </si>
  <si>
    <t>message = "Hi!Fpoly"</t>
  </si>
  <si>
    <t>expected = "Y", actual = "Y"</t>
  </si>
  <si>
    <t>Throw ArithmeticException</t>
  </si>
  <si>
    <t>Fail</t>
  </si>
  <si>
    <t>"Hi!Fpoly"</t>
  </si>
  <si>
    <t>assertEquals pass</t>
  </si>
  <si>
    <t>"Suite Test 1 is successful Y"</t>
  </si>
  <si>
    <t xml:space="preserve">No Exception (in "Fpoly")	</t>
  </si>
  <si>
    <t>Kiểm thử lớp JUnit Annotations: @Before, @BeforeClass, @After, @AfterClass, @Test, @Ignore, @Test(timeout), @Test(expected)</t>
  </si>
  <si>
    <t>JunitAnnotationsExample</t>
  </si>
  <si>
    <t>Project đã được compile thành công</t>
  </si>
  <si>
    <t>ArrayList&lt;String&gt; list được khởi tạo trong @Before</t>
  </si>
  <si>
    <t>list.add("test") cho test m5()</t>
  </si>
  <si>
    <t>timeout = 10ms cho test m7()</t>
  </si>
  <si>
    <t>expected = NoSuchMethodException.class cho test m8()</t>
  </si>
  <si>
    <t>Kết quả mong đợi</t>
  </si>
  <si>
    <t>Kết quả thực tế</t>
  </si>
  <si>
    <t>Mô tả Test Case</t>
  </si>
  <si>
    <t>TC07</t>
  </si>
  <si>
    <t>TC08</t>
  </si>
  <si>
    <t>m1() - @BeforeClass - Thực thi trước tất cả test</t>
  </si>
  <si>
    <t>m2() - @Before - Thực thi trước mỗi test</t>
  </si>
  <si>
    <t>m3() - @AfterClass - Thực thi sau tất cả test</t>
  </si>
  <si>
    <t>m4() - @After - Thực thi sau mỗi test</t>
  </si>
  <si>
    <t>m5() - @Test - Test thêm phần tử vào list</t>
  </si>
  <si>
    <t>m6() - @Ignore - Test bị bỏ qua</t>
  </si>
  <si>
    <t>m7() - @Test(timeout=10) - Test với timeout</t>
  </si>
  <si>
    <t>m8() - @Test(expected) - Test expect exception</t>
  </si>
  <si>
    <t>list = new ArrayList</t>
  </si>
  <si>
    <t>-</t>
  </si>
  <si>
    <t>list.clear()</t>
  </si>
  <si>
    <t>list.add("test")</t>
  </si>
  <si>
    <t>timeout = 10ms</t>
  </si>
  <si>
    <t>NoSuchMethodException</t>
  </si>
  <si>
    <t>In "Using @BeforeClass, executed before all test cases"</t>
  </si>
  <si>
    <t>In "Using @Before annotations, executed before each test cases"</t>
  </si>
  <si>
    <t>In "Using @AfterClass, executed after all test cases"</t>
  </si>
  <si>
    <t xml:space="preserve">Throw In "Using @After, executed after each test cases"	</t>
  </si>
  <si>
    <t>assertFalse(list.isEmpty()), assertEquals(1, list.size())</t>
  </si>
  <si>
    <t xml:space="preserve">	In "Using @Ignore, this execution is ignored"</t>
  </si>
  <si>
    <t>In "Using @Test(timeout)..."</t>
  </si>
  <si>
    <t>Throw NoSuchMethodException</t>
  </si>
  <si>
    <t>"Using @BeforeClass , executed before all test cases"</t>
  </si>
  <si>
    <t>"Using @Before annotations ,executed before each test cases" (3 lần)</t>
  </si>
  <si>
    <t>"Using @AfterClass ,executed after all test cases"</t>
  </si>
  <si>
    <t>"Using @After ,executed after each test cases" (3 lần)</t>
  </si>
  <si>
    <t>"Using @Test(timeout),it can be used..."</t>
  </si>
  <si>
    <t>No Exception</t>
  </si>
  <si>
    <t xml:space="preserve">	Fail</t>
  </si>
  <si>
    <t>Child age 0</t>
  </si>
  <si>
    <t>Child, age=0</t>
  </si>
  <si>
    <t>50 euro</t>
  </si>
  <si>
    <t>Child age 10</t>
  </si>
  <si>
    <t>Child, age=10</t>
  </si>
  <si>
    <t>Child age 17</t>
  </si>
  <si>
    <t>Child, age=17</t>
  </si>
  <si>
    <t>Male age 18</t>
  </si>
  <si>
    <t>Male, age=18</t>
  </si>
  <si>
    <t>100 euro</t>
  </si>
  <si>
    <t>Male age 25</t>
  </si>
  <si>
    <t>Male, age=25</t>
  </si>
  <si>
    <t>Male age 35</t>
  </si>
  <si>
    <t>Male, age=35</t>
  </si>
  <si>
    <t>Male age 36</t>
  </si>
  <si>
    <t>Male, age=36</t>
  </si>
  <si>
    <t>120 euro</t>
  </si>
  <si>
    <t>Male age 45</t>
  </si>
  <si>
    <t>Male, age=45</t>
  </si>
  <si>
    <t>TC09</t>
  </si>
  <si>
    <t>Male age 50</t>
  </si>
  <si>
    <t>Male, age=50</t>
  </si>
  <si>
    <t>TC10</t>
  </si>
  <si>
    <t>Male age 51</t>
  </si>
  <si>
    <t>Male, age=51</t>
  </si>
  <si>
    <t>140 euro</t>
  </si>
  <si>
    <t>TC11</t>
  </si>
  <si>
    <t>Male age 100</t>
  </si>
  <si>
    <t>Male, age=100</t>
  </si>
  <si>
    <t>TC12</t>
  </si>
  <si>
    <t>Male age 145</t>
  </si>
  <si>
    <t>Male, age=145</t>
  </si>
  <si>
    <t>TC13</t>
  </si>
  <si>
    <t>Female age 18</t>
  </si>
  <si>
    <t>Female, age=18</t>
  </si>
  <si>
    <t>80 euro</t>
  </si>
  <si>
    <t>TC14</t>
  </si>
  <si>
    <t>Female age 25</t>
  </si>
  <si>
    <t>Female, age=25</t>
  </si>
  <si>
    <t>TC15</t>
  </si>
  <si>
    <t>Female age 35</t>
  </si>
  <si>
    <t>Female, age=35</t>
  </si>
  <si>
    <t>TC16</t>
  </si>
  <si>
    <t>Female age 36</t>
  </si>
  <si>
    <t>Female, age=36</t>
  </si>
  <si>
    <t>110 euro</t>
  </si>
  <si>
    <t>TC17</t>
  </si>
  <si>
    <t>Female age 45</t>
  </si>
  <si>
    <t>Female, age=45</t>
  </si>
  <si>
    <t>TC18</t>
  </si>
  <si>
    <t>Female age 50</t>
  </si>
  <si>
    <t>Female, age=50</t>
  </si>
  <si>
    <t>TC19</t>
  </si>
  <si>
    <t>Female age 51</t>
  </si>
  <si>
    <t>Female, age=51</t>
  </si>
  <si>
    <t>TC20</t>
  </si>
  <si>
    <t>Female age 100</t>
  </si>
  <si>
    <t>Female, age=100</t>
  </si>
  <si>
    <t>TC21</t>
  </si>
  <si>
    <t>Female age 145</t>
  </si>
  <si>
    <t>Female, age=145</t>
  </si>
  <si>
    <t>TC22</t>
  </si>
  <si>
    <t>Invalid age -1</t>
  </si>
  <si>
    <t>Male, age=-1</t>
  </si>
  <si>
    <t>Exception/Error</t>
  </si>
  <si>
    <t>TC23</t>
  </si>
  <si>
    <t>Invalid age 146</t>
  </si>
  <si>
    <t>Male, age=146</t>
  </si>
  <si>
    <t>TC24</t>
  </si>
  <si>
    <t>TC25</t>
  </si>
  <si>
    <t>JavaFX dependency đã được cấu hình</t>
  </si>
  <si>
    <t>Gender: Male, Female, Child</t>
  </si>
  <si>
    <t>Age ranges: 0-17 (Child), 18-35, 36-50, 51-145</t>
  </si>
  <si>
    <t>Expected payments: 50, 80, 100, 110, 120, 140 euro</t>
  </si>
  <si>
    <t>Boundary values: 0, 17, 18, 35, 36, 50, 51, 145</t>
  </si>
  <si>
    <t>PaymentCalculatorTest</t>
  </si>
  <si>
    <t>Kiểm thử tính tiền thanh toán cho bệnh nhân dựa trên giới tính (Male/Female/Child) và độ tuổi</t>
  </si>
  <si>
    <t>BA_04</t>
  </si>
  <si>
    <t>BA_03</t>
  </si>
  <si>
    <t>Mã KH null</t>
  </si>
  <si>
    <t>null</t>
  </si>
  <si>
    <t>"Mã khách hàng là trường bắt buộc"</t>
  </si>
  <si>
    <t>Mã KH rỗng</t>
  </si>
  <si>
    <t>""</t>
  </si>
  <si>
    <t>Mã KH quá ngắn (5 ký tự)</t>
  </si>
  <si>
    <t>"ABC12"</t>
  </si>
  <si>
    <t>"Mã khách hàng phải từ 6-10 ký tự..."</t>
  </si>
  <si>
    <t>Mã KH quá dài (12 ký tự)</t>
  </si>
  <si>
    <t>"ABC123456789"</t>
  </si>
  <si>
    <t>Mã KH chứa ký tự đặc biệt</t>
  </si>
  <si>
    <t>"ABC@123"</t>
  </si>
  <si>
    <t>Mã KH hợp lệ 6 ký tự</t>
  </si>
  <si>
    <t>"ABC123"</t>
  </si>
  <si>
    <t>null (hợp lệ)</t>
  </si>
  <si>
    <t>Mã KH hợp lệ 10 ký tự</t>
  </si>
  <si>
    <t>"ABCD123456"</t>
  </si>
  <si>
    <t>Mã KH hợp lệ trung bình</t>
  </si>
  <si>
    <t>"KH00001"</t>
  </si>
  <si>
    <t>Họ tên null</t>
  </si>
  <si>
    <t>"Họ và tên là trường bắt buộc"</t>
  </si>
  <si>
    <t>Họ tên rỗng</t>
  </si>
  <si>
    <t>Họ tên quá ngắn (3 ký tự)</t>
  </si>
  <si>
    <t>"Abc"</t>
  </si>
  <si>
    <t>"Họ và tên phải từ 5-50 ký tự"</t>
  </si>
  <si>
    <t>Họ tên quá dài (51 ký tự)</t>
  </si>
  <si>
    <t>"A" x 51</t>
  </si>
  <si>
    <t>Họ tên chứa số</t>
  </si>
  <si>
    <t>"Nguyen Van A123"</t>
  </si>
  <si>
    <t>"Họ và tên chỉ được chứa chữ cái..."</t>
  </si>
  <si>
    <t>Họ tên hợp lệ tiếng Việt</t>
  </si>
  <si>
    <t>"Nguyễn Văn A"</t>
  </si>
  <si>
    <t>Họ tên hợp lệ 5 ký tự</t>
  </si>
  <si>
    <t>"An Ba"</t>
  </si>
  <si>
    <t>Họ tên hợp lệ 50 ký tự</t>
  </si>
  <si>
    <t>"Nguyễn Văn..."</t>
  </si>
  <si>
    <t>Email null</t>
  </si>
  <si>
    <t>"Email là trường bắt buộc"</t>
  </si>
  <si>
    <t>Email rỗng</t>
  </si>
  <si>
    <t>Email thiếu @</t>
  </si>
  <si>
    <t>"nguyenvana.email.com"</t>
  </si>
  <si>
    <t>"Email không đúng định dạng"</t>
  </si>
  <si>
    <t>Email thiếu domain</t>
  </si>
  <si>
    <t>"nguyenvana@"</t>
  </si>
  <si>
    <t>Email thiếu username</t>
  </si>
  <si>
    <t>"@email.com"</t>
  </si>
  <si>
    <t>Email hợp lệ</t>
  </si>
  <si>
    <t>"nguyenvana@email.com"</t>
  </si>
  <si>
    <t>Email hợp lệ có dấu chấm</t>
  </si>
  <si>
    <t>"nguyen.van.a@email.co.vn"</t>
  </si>
  <si>
    <t>SĐT null</t>
  </si>
  <si>
    <t>"Số điện thoại là trường bắt buộc"</t>
  </si>
  <si>
    <t>SĐT rỗng</t>
  </si>
  <si>
    <t>TC26</t>
  </si>
  <si>
    <t>SĐT không bắt đầu bằng 0</t>
  </si>
  <si>
    <t>"1234567890"</t>
  </si>
  <si>
    <t>"Số điện thoại phải bắt đầu bằng 0..."</t>
  </si>
  <si>
    <t>TC27</t>
  </si>
  <si>
    <t>SĐT quá ngắn (9 số)</t>
  </si>
  <si>
    <t>"012345678"</t>
  </si>
  <si>
    <t>TC28</t>
  </si>
  <si>
    <t>SĐT quá dài (13 số)</t>
  </si>
  <si>
    <t>"0123456789012"</t>
  </si>
  <si>
    <t>TC29</t>
  </si>
  <si>
    <t>SĐT chứa chữ</t>
  </si>
  <si>
    <t>"012345678a"</t>
  </si>
  <si>
    <t>TC30</t>
  </si>
  <si>
    <t>SĐT hợp lệ 10 số</t>
  </si>
  <si>
    <t>"0123456789"</t>
  </si>
  <si>
    <t>TC31</t>
  </si>
  <si>
    <t>SĐT hợp lệ 11 số</t>
  </si>
  <si>
    <t>"01234567890"</t>
  </si>
  <si>
    <t>TC32</t>
  </si>
  <si>
    <t>SĐT hợp lệ 12 số</t>
  </si>
  <si>
    <t>"012345678901"</t>
  </si>
  <si>
    <t>TC33</t>
  </si>
  <si>
    <t>Địa chỉ null</t>
  </si>
  <si>
    <t>"Địa chỉ là trường bắt buộc"</t>
  </si>
  <si>
    <t>TC34</t>
  </si>
  <si>
    <t>Địa chỉ rỗng</t>
  </si>
  <si>
    <t>TC35</t>
  </si>
  <si>
    <t>Địa chỉ quá dài (256 ký tự)</t>
  </si>
  <si>
    <t>"A" x 256</t>
  </si>
  <si>
    <t>"Địa chỉ không được quá 255 ký tự"</t>
  </si>
  <si>
    <t>TC36</t>
  </si>
  <si>
    <t>Địa chỉ hợp lệ</t>
  </si>
  <si>
    <t>"123 Đường ABC..."</t>
  </si>
  <si>
    <t>TC37</t>
  </si>
  <si>
    <t>Địa chỉ hợp lệ 255 ký tự</t>
  </si>
  <si>
    <t>"A" x 255</t>
  </si>
  <si>
    <t>TC38</t>
  </si>
  <si>
    <t>Mật khẩu null</t>
  </si>
  <si>
    <t>"Mật khẩu là trường bắt buộc"</t>
  </si>
  <si>
    <t>TC39</t>
  </si>
  <si>
    <t>Mật khẩu rỗng</t>
  </si>
  <si>
    <t>TC40</t>
  </si>
  <si>
    <t>Mật khẩu quá ngắn (7 ký tự)</t>
  </si>
  <si>
    <t>"1234567"</t>
  </si>
  <si>
    <t>"Mật khẩu phải có ít nhất 8 ký tự"</t>
  </si>
  <si>
    <t>TC41</t>
  </si>
  <si>
    <t>Mật khẩu hợp lệ 8 ký tự</t>
  </si>
  <si>
    <t>"12345678"</t>
  </si>
  <si>
    <t>TC42</t>
  </si>
  <si>
    <t>Mật khẩu hợp lệ dài</t>
  </si>
  <si>
    <t>"MySecurePassword123!"</t>
  </si>
  <si>
    <t>TC43</t>
  </si>
  <si>
    <t>Xác nhận MK null</t>
  </si>
  <si>
    <t>"Xác nhận mật khẩu là trường bắt buộc"</t>
  </si>
  <si>
    <t>TC44</t>
  </si>
  <si>
    <t>Xác nhận MK rỗng</t>
  </si>
  <si>
    <t>TC45</t>
  </si>
  <si>
    <t>Xác nhận MK không khớp</t>
  </si>
  <si>
    <t>"password123" vs "password456"</t>
  </si>
  <si>
    <t>"Xác nhận mật khẩu không khớp"</t>
  </si>
  <si>
    <t>TC46</t>
  </si>
  <si>
    <t>Xác nhận MK hợp lệ</t>
  </si>
  <si>
    <t>"password123" vs "password123"</t>
  </si>
  <si>
    <t>TC47</t>
  </si>
  <si>
    <t>Ngày sinh null</t>
  </si>
  <si>
    <t>null (optional)</t>
  </si>
  <si>
    <t>TC48</t>
  </si>
  <si>
    <t>Dưới 18 tuổi</t>
  </si>
  <si>
    <t>now - 17 years</t>
  </si>
  <si>
    <t>"Người dùng phải đủ 18 tuổi"</t>
  </si>
  <si>
    <t>TC49</t>
  </si>
  <si>
    <t>Đúng 18 tuổi</t>
  </si>
  <si>
    <t>now - 18 years</t>
  </si>
  <si>
    <t>TC50</t>
  </si>
  <si>
    <t>Trên 18 tuổi</t>
  </si>
  <si>
    <t>now - 25 years</t>
  </si>
  <si>
    <t>TC51</t>
  </si>
  <si>
    <t>Không đồng ý điều khoản</t>
  </si>
  <si>
    <t>"Bạn phải đồng ý với điều khoản dịch vụ"</t>
  </si>
  <si>
    <t>TC52</t>
  </si>
  <si>
    <t>Đồng ý điều khoản</t>
  </si>
  <si>
    <t>Không có lỗi</t>
  </si>
  <si>
    <t>TC53</t>
  </si>
  <si>
    <t>Tất cả trường hợp lệ</t>
  </si>
  <si>
    <t>Valid data</t>
  </si>
  <si>
    <t>Danh sách lỗi rỗng</t>
  </si>
  <si>
    <t>TC54</t>
  </si>
  <si>
    <t>Tất cả trường rỗng</t>
  </si>
  <si>
    <t>Empty data</t>
  </si>
  <si>
    <t>&gt;= 7 lỗi</t>
  </si>
  <si>
    <t>Pass / Fail / Not executed /Suspended</t>
  </si>
  <si>
    <t>Như mong đợi</t>
  </si>
  <si>
    <t>BA_05</t>
  </si>
  <si>
    <t>Mã KH: 6-10 ký tự, chỉ chữ và số</t>
  </si>
  <si>
    <t>Họ tên: 5-50 ký tự, tiếng Việt có dấu</t>
  </si>
  <si>
    <t>Email: định dạng email hợp lệ</t>
  </si>
  <si>
    <t>Bảng customers đã được tạo theo script SQL</t>
  </si>
  <si>
    <t>PostgreSQL đã được cài đặt với database bai5_db</t>
  </si>
  <si>
    <t>CustomerValidatorTest</t>
  </si>
  <si>
    <t>Kiểm thử form Đăng Ký Tài Khoản Khách Hàng với các ràng buộc validation</t>
  </si>
  <si>
    <t xml:space="preserve">	Địa chỉ: tối đa 255 ký tự</t>
  </si>
  <si>
    <t>Mật khẩu: tối thiểu 8 ký tự</t>
  </si>
  <si>
    <t>Ngày sinh: đủ 18 tuổi (nếu nhập)</t>
  </si>
  <si>
    <t>Bai1</t>
  </si>
  <si>
    <t>Date:  27/01/2026</t>
  </si>
  <si>
    <t>Kiểm thử các phương thức của lớp MathFunc: factorial(), plus(), getCalls()</t>
  </si>
  <si>
    <t>factorial() - Kiểm tra giai thừa</t>
  </si>
  <si>
    <t>factorialNegative() - Kiểm tra số âm</t>
  </si>
  <si>
    <t>calls() - Đếm số lần gọi</t>
  </si>
  <si>
    <t>todo() - Test @Ignore</t>
  </si>
  <si>
    <t>Bai5</t>
  </si>
  <si>
    <t xml:space="preserve">testJUnitMessage() - ArithmeticException	</t>
  </si>
  <si>
    <t xml:space="preserve">testJUnitHiMessage() - In chuỗi Hi	</t>
  </si>
  <si>
    <t>createAndSetName() - So sánh chuỗi</t>
  </si>
  <si>
    <t>Tạo JUnit Test Suite sử dụng @RunWith @Suite với SuiteTest1, SuiteTest2</t>
  </si>
  <si>
    <t xml:space="preserve">m5() - @Test (list.add, assertFalse, assertEquals)	</t>
  </si>
  <si>
    <t>Bai3</t>
  </si>
  <si>
    <t xml:space="preserve">m6() - @Ignore	</t>
  </si>
  <si>
    <t xml:space="preserve">m7() - @Test(timeout=10)	</t>
  </si>
  <si>
    <t xml:space="preserve">m8() - @Test(expected=NoSuchMethodException)	</t>
  </si>
  <si>
    <t>Child (0-17) - 50 euro</t>
  </si>
  <si>
    <t>Male (18-35) - 100 euro</t>
  </si>
  <si>
    <t>Male (36-50) - 120 euro</t>
  </si>
  <si>
    <t>Male (51-145) - 140 euro</t>
  </si>
  <si>
    <t>Female (18-35) - 80 euro</t>
  </si>
  <si>
    <t>Female (36-50) - 110 euro</t>
  </si>
  <si>
    <t>Female (51-145) - 140 euro</t>
  </si>
  <si>
    <t>Invalid Age (-1, 146)</t>
  </si>
  <si>
    <t>Tính tiền thanh toán cho bệnh nhân theo giới tính và độ tuổi</t>
  </si>
  <si>
    <t>Bai4</t>
  </si>
  <si>
    <t>Kiểm thử JUnit Annotations: @Before, @BeforeClass, @After, @AfterClass, @Test, @Ignore, @Test(timeout), @Test(expected)</t>
  </si>
  <si>
    <t>Form Đăng Ký Tài Khoản Khách Hàng - Validation các trường, kết nối PostgreSQL</t>
  </si>
  <si>
    <t>Mã Khách Hàng (6-10 ký tự)</t>
  </si>
  <si>
    <t>Họ và Tên (5-50 ký tự)</t>
  </si>
  <si>
    <t>Email (định dạng hợp lệ)</t>
  </si>
  <si>
    <t>Số điện thoại (10-12 số)</t>
  </si>
  <si>
    <t>Địa chỉ (max 255 ký tự)</t>
  </si>
  <si>
    <t>Mật khẩu (min 8 ký tự)</t>
  </si>
  <si>
    <t>Xác nhận Mật khẩu</t>
  </si>
  <si>
    <t>Ngày sinh (≥18 tuổi)</t>
  </si>
  <si>
    <t>Điều khoản dịch vụ</t>
  </si>
  <si>
    <t>Tổng hợp validation</t>
  </si>
  <si>
    <t>m1() - @BeforeClass (chạy 1 lần trước tất cả tests)</t>
  </si>
  <si>
    <t>m2() - @Before (chạy trước mỗi test)</t>
  </si>
  <si>
    <t xml:space="preserve">m3() - @AfterClass (chạy 1 lần sau tất cả tests)	</t>
  </si>
  <si>
    <t xml:space="preserve">m4() - @After (chạy sau mỗi test)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</si>
</sst>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u/>
      <sz val="11"/>
      <name val="Calibri"/>
    </font>
    <font>
      <b/>
      <sz val="11"/>
      <name val="Calibri"/>
      <family val="2"/>
    </font>
    <font>
      <b/>
      <u/>
      <sz val="11"/>
      <name val="Calibri"/>
      <family val="2"/>
    </font>
    <font>
      <sz val="8"/>
      <name val="Calibri"/>
      <family val="2"/>
      <scheme val="minor"/>
    </font>
    <font>
      <b/>
      <sz val="16"/>
      <color rgb="FF008000"/>
      <name val="Arial"/>
      <family val="2"/>
    </font>
    <font>
      <b/>
      <sz val="10"/>
      <color rgb="FFC00000"/>
      <name val="Arial"/>
      <family val="2"/>
    </font>
    <font>
      <sz val="10"/>
      <color rgb="FF008000"/>
      <name val="Arial"/>
      <family val="2"/>
    </font>
    <font>
      <i/>
      <sz val="10"/>
      <name val="Arial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6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/>
    <xf numFmtId="0" fontId="2" fillId="0" borderId="1" xfId="0" applyFont="1" applyBorder="1" applyAlignment="1">
      <alignment vertical="center"/>
    </xf>
    <xf numFmtId="0" fontId="0" fillId="0" borderId="7" xfId="0" applyBorder="1" applyAlignment="1"/>
    <xf numFmtId="0" fontId="2" fillId="0" borderId="7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18" xfId="0" applyFont="1" applyBorder="1" applyAlignment="1">
      <alignment vertical="center"/>
    </xf>
    <xf numFmtId="14" fontId="0" fillId="0" borderId="7" xfId="0" applyNumberFormat="1" applyBorder="1" applyAlignment="1"/>
    <xf numFmtId="0" fontId="0" fillId="0" borderId="25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/>
    <xf numFmtId="9" fontId="11" fillId="0" borderId="0" xfId="0" applyNumberFormat="1" applyFont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/>
    <xf numFmtId="0" fontId="8" fillId="0" borderId="3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7" xfId="0" applyBorder="1"/>
    <xf numFmtId="0" fontId="0" fillId="0" borderId="40" xfId="0" applyBorder="1"/>
    <xf numFmtId="0" fontId="1" fillId="0" borderId="41" xfId="0" applyFont="1" applyBorder="1" applyAlignment="1">
      <alignment horizontal="center" vertical="center"/>
    </xf>
    <xf numFmtId="0" fontId="0" fillId="0" borderId="17" xfId="0" applyBorder="1" applyAlignment="1">
      <alignment wrapText="1"/>
    </xf>
    <xf numFmtId="0" fontId="0" fillId="0" borderId="40" xfId="0" applyBorder="1" applyAlignment="1">
      <alignment wrapText="1"/>
    </xf>
    <xf numFmtId="0" fontId="4" fillId="0" borderId="2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2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0" fillId="0" borderId="3" xfId="0" applyBorder="1"/>
    <xf numFmtId="0" fontId="0" fillId="0" borderId="9" xfId="0" applyBorder="1"/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23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" xfId="0" applyBorder="1"/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14" xfId="0" applyBorder="1"/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14" fontId="0" fillId="0" borderId="21" xfId="0" applyNumberFormat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0" fillId="0" borderId="17" xfId="0" applyBorder="1"/>
    <xf numFmtId="0" fontId="4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10" fillId="0" borderId="0" xfId="0" applyFont="1" applyAlignment="1">
      <alignment horizontal="center" vertical="center"/>
    </xf>
    <xf numFmtId="0" fontId="0" fillId="0" borderId="0" xfId="0"/>
    <xf numFmtId="0" fontId="9" fillId="0" borderId="37" xfId="0" applyFont="1" applyBorder="1" applyAlignment="1">
      <alignment horizontal="left" vertical="center"/>
    </xf>
    <xf numFmtId="0" fontId="0" fillId="0" borderId="27" xfId="0" applyBorder="1"/>
    <xf numFmtId="0" fontId="0" fillId="0" borderId="37" xfId="0" applyBorder="1"/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0" fillId="0" borderId="9" xfId="0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0" fontId="0" fillId="0" borderId="31" xfId="0" applyBorder="1"/>
    <xf numFmtId="0" fontId="0" fillId="0" borderId="32" xfId="0" applyBorder="1"/>
    <xf numFmtId="0" fontId="8" fillId="0" borderId="38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38" xfId="0" applyBorder="1" applyAlignment="1">
      <alignment horizontal="left" vertical="center" wrapText="1"/>
    </xf>
    <xf numFmtId="0" fontId="0" fillId="0" borderId="38" xfId="0" applyBorder="1" applyAlignment="1">
      <alignment wrapText="1"/>
    </xf>
    <xf numFmtId="0" fontId="2" fillId="0" borderId="43" xfId="0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0" fontId="0" fillId="0" borderId="30" xfId="0" applyBorder="1"/>
    <xf numFmtId="0" fontId="0" fillId="0" borderId="44" xfId="0" applyBorder="1"/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wrapText="1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wrapText="1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17" xfId="0" applyBorder="1" applyAlignment="1">
      <alignment horizontal="left" vertical="center" wrapText="1"/>
    </xf>
    <xf numFmtId="0" fontId="0" fillId="0" borderId="50" xfId="0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9" fontId="0" fillId="0" borderId="0" xfId="0" applyNumberFormat="1"/>
    <xf numFmtId="0" fontId="0" fillId="0" borderId="25" xfId="0" applyBorder="1"/>
    <xf numFmtId="0" fontId="12" fillId="0" borderId="0" xfId="0" applyFont="1" applyBorder="1" applyAlignment="1">
      <alignment horizontal="center" vertical="center"/>
    </xf>
    <xf numFmtId="0" fontId="0" fillId="0" borderId="0" xfId="0" applyBorder="1"/>
    <xf numFmtId="0" fontId="11" fillId="0" borderId="0" xfId="0" applyFont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 wrapText="1"/>
    </xf>
    <xf numFmtId="0" fontId="12" fillId="2" borderId="54" xfId="0" applyFont="1" applyFill="1" applyBorder="1" applyAlignment="1">
      <alignment horizontal="center" vertical="center" wrapText="1"/>
    </xf>
    <xf numFmtId="0" fontId="12" fillId="2" borderId="55" xfId="0" applyFont="1" applyFill="1" applyBorder="1" applyAlignment="1">
      <alignment horizontal="center" vertical="center" wrapText="1"/>
    </xf>
    <xf numFmtId="9" fontId="0" fillId="0" borderId="50" xfId="0" applyNumberFormat="1" applyBorder="1"/>
    <xf numFmtId="0" fontId="0" fillId="2" borderId="56" xfId="0" applyFill="1" applyBorder="1" applyAlignment="1">
      <alignment horizontal="center"/>
    </xf>
    <xf numFmtId="0" fontId="0" fillId="2" borderId="57" xfId="0" applyFill="1" applyBorder="1" applyAlignment="1">
      <alignment horizontal="center"/>
    </xf>
    <xf numFmtId="0" fontId="0" fillId="2" borderId="58" xfId="0" applyFill="1" applyBorder="1" applyAlignment="1">
      <alignment horizontal="center"/>
    </xf>
    <xf numFmtId="0" fontId="0" fillId="2" borderId="59" xfId="0" applyFill="1" applyBorder="1" applyAlignment="1">
      <alignment horizontal="center"/>
    </xf>
    <xf numFmtId="9" fontId="11" fillId="0" borderId="0" xfId="0" applyNumberFormat="1" applyFont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2" borderId="33" xfId="0" applyFill="1" applyBorder="1" applyAlignment="1">
      <alignment horizontal="center"/>
    </xf>
    <xf numFmtId="0" fontId="0" fillId="0" borderId="62" xfId="0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 wrapText="1"/>
    </xf>
    <xf numFmtId="0" fontId="0" fillId="0" borderId="63" xfId="0" applyBorder="1"/>
    <xf numFmtId="0" fontId="0" fillId="0" borderId="17" xfId="0" applyBorder="1" applyAlignment="1">
      <alignment horizontal="left"/>
    </xf>
    <xf numFmtId="0" fontId="0" fillId="0" borderId="64" xfId="0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 wrapText="1"/>
    </xf>
    <xf numFmtId="0" fontId="0" fillId="0" borderId="41" xfId="0" applyBorder="1"/>
    <xf numFmtId="0" fontId="12" fillId="2" borderId="41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"/>
  <sheetViews>
    <sheetView tabSelected="1" workbookViewId="0">
      <selection activeCell="E10" sqref="E10"/>
    </sheetView>
  </sheetViews>
  <sheetFormatPr defaultRowHeight="14.5" x14ac:dyDescent="0.35"/>
  <cols>
    <col min="3" max="3" width="33.7265625" customWidth="1"/>
    <col min="4" max="4" width="14.1796875" customWidth="1"/>
    <col min="5" max="5" width="26.6328125" customWidth="1"/>
    <col min="6" max="6" width="14.26953125" customWidth="1"/>
    <col min="16" max="16" width="18.453125" customWidth="1"/>
    <col min="17" max="17" width="21.453125" customWidth="1"/>
    <col min="18" max="18" width="30.1796875" customWidth="1"/>
    <col min="19" max="19" width="26.08984375" customWidth="1"/>
    <col min="20" max="20" width="26" customWidth="1"/>
  </cols>
  <sheetData>
    <row r="1" spans="1:11" ht="27.5" customHeight="1" x14ac:dyDescent="0.35">
      <c r="A1" s="11" t="s">
        <v>0</v>
      </c>
      <c r="B1" s="10"/>
      <c r="C1" s="10" t="s">
        <v>14</v>
      </c>
      <c r="D1" s="9" t="s">
        <v>1</v>
      </c>
      <c r="E1" s="10"/>
      <c r="F1" s="51" t="s">
        <v>30</v>
      </c>
      <c r="G1" s="52"/>
      <c r="H1" s="52"/>
      <c r="I1" s="52"/>
      <c r="J1" s="52"/>
      <c r="K1" s="53"/>
    </row>
    <row r="2" spans="1:11" ht="15" thickBot="1" x14ac:dyDescent="0.4">
      <c r="A2" s="8" t="s">
        <v>2</v>
      </c>
      <c r="B2" s="7"/>
      <c r="C2" s="7" t="s">
        <v>15</v>
      </c>
      <c r="D2" s="6" t="s">
        <v>3</v>
      </c>
      <c r="E2" s="7"/>
      <c r="F2" s="7"/>
      <c r="G2" s="6" t="s">
        <v>4</v>
      </c>
      <c r="H2" s="59">
        <v>1</v>
      </c>
      <c r="I2" s="60"/>
      <c r="J2" s="60"/>
      <c r="K2" s="61"/>
    </row>
    <row r="4" spans="1:11" x14ac:dyDescent="0.35">
      <c r="A4" s="2" t="s">
        <v>5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5" thickBot="1" x14ac:dyDescent="0.4"/>
    <row r="6" spans="1:11" ht="15" thickBot="1" x14ac:dyDescent="0.4">
      <c r="A6" s="14" t="s">
        <v>6</v>
      </c>
      <c r="B6" s="15"/>
      <c r="C6" s="17" t="s">
        <v>15</v>
      </c>
      <c r="D6" s="13" t="s">
        <v>7</v>
      </c>
      <c r="E6" s="12"/>
      <c r="F6" s="18">
        <v>46049</v>
      </c>
      <c r="G6" s="13" t="s">
        <v>8</v>
      </c>
      <c r="H6" s="62" t="s">
        <v>31</v>
      </c>
      <c r="I6" s="63"/>
      <c r="J6" s="63"/>
      <c r="K6" s="64"/>
    </row>
    <row r="7" spans="1:11" ht="15" thickBot="1" x14ac:dyDescent="0.4"/>
    <row r="8" spans="1:11" x14ac:dyDescent="0.35">
      <c r="A8" s="3" t="s">
        <v>9</v>
      </c>
      <c r="B8" s="48" t="s">
        <v>10</v>
      </c>
      <c r="C8" s="49"/>
      <c r="D8" s="1"/>
      <c r="E8" s="1"/>
      <c r="F8" s="3" t="s">
        <v>9</v>
      </c>
      <c r="G8" s="48" t="s">
        <v>11</v>
      </c>
      <c r="H8" s="56"/>
      <c r="I8" s="56"/>
      <c r="J8" s="56"/>
      <c r="K8" s="49"/>
    </row>
    <row r="9" spans="1:11" ht="25.5" customHeight="1" x14ac:dyDescent="0.35">
      <c r="A9" s="4">
        <v>1</v>
      </c>
      <c r="B9" s="45" t="s">
        <v>32</v>
      </c>
      <c r="C9" s="47"/>
      <c r="D9" s="1"/>
      <c r="E9" s="1"/>
      <c r="F9" s="4">
        <v>1</v>
      </c>
      <c r="G9" s="42" t="s">
        <v>26</v>
      </c>
      <c r="H9" s="43"/>
      <c r="I9" s="43"/>
      <c r="J9" s="43"/>
      <c r="K9" s="44"/>
    </row>
    <row r="10" spans="1:11" ht="27.5" customHeight="1" x14ac:dyDescent="0.35">
      <c r="A10" s="4">
        <v>2</v>
      </c>
      <c r="B10" s="45" t="s">
        <v>33</v>
      </c>
      <c r="C10" s="47"/>
      <c r="D10" s="1"/>
      <c r="E10" s="1"/>
      <c r="F10" s="4">
        <v>2</v>
      </c>
      <c r="G10" s="42" t="s">
        <v>27</v>
      </c>
      <c r="H10" s="43"/>
      <c r="I10" s="43"/>
      <c r="J10" s="43"/>
      <c r="K10" s="44"/>
    </row>
    <row r="11" spans="1:11" ht="28" customHeight="1" x14ac:dyDescent="0.35">
      <c r="A11" s="4">
        <v>3</v>
      </c>
      <c r="B11" s="45" t="s">
        <v>34</v>
      </c>
      <c r="C11" s="47"/>
      <c r="D11" s="1"/>
      <c r="E11" s="1"/>
      <c r="F11" s="4">
        <v>3</v>
      </c>
      <c r="G11" s="42" t="s">
        <v>28</v>
      </c>
      <c r="H11" s="43"/>
      <c r="I11" s="43"/>
      <c r="J11" s="43"/>
      <c r="K11" s="44"/>
    </row>
    <row r="12" spans="1:11" ht="35.5" customHeight="1" thickBot="1" x14ac:dyDescent="0.4">
      <c r="A12" s="5">
        <v>4</v>
      </c>
      <c r="B12" s="57" t="s">
        <v>35</v>
      </c>
      <c r="C12" s="58"/>
      <c r="D12" s="1"/>
      <c r="E12" s="1"/>
      <c r="F12" s="5">
        <v>4</v>
      </c>
      <c r="G12" s="67" t="s">
        <v>29</v>
      </c>
      <c r="H12" s="68"/>
      <c r="I12" s="68"/>
      <c r="J12" s="68"/>
      <c r="K12" s="69"/>
    </row>
    <row r="13" spans="1:11" ht="25.5" customHeight="1" x14ac:dyDescent="0.35"/>
    <row r="14" spans="1:11" x14ac:dyDescent="0.35">
      <c r="A14" s="16" t="s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5" thickBot="1" x14ac:dyDescent="0.4"/>
    <row r="16" spans="1:11" ht="46.5" customHeight="1" x14ac:dyDescent="0.35">
      <c r="A16" s="20" t="s">
        <v>36</v>
      </c>
      <c r="B16" s="65" t="s">
        <v>96</v>
      </c>
      <c r="C16" s="66"/>
      <c r="D16" s="31" t="s">
        <v>61</v>
      </c>
      <c r="E16" s="34" t="s">
        <v>94</v>
      </c>
      <c r="F16" s="65" t="s">
        <v>95</v>
      </c>
      <c r="G16" s="56"/>
      <c r="H16" s="39" t="s">
        <v>13</v>
      </c>
      <c r="I16" s="40"/>
      <c r="J16" s="40"/>
      <c r="K16" s="41"/>
    </row>
    <row r="17" spans="1:19" ht="14.5" customHeight="1" x14ac:dyDescent="0.35">
      <c r="A17" s="4" t="s">
        <v>37</v>
      </c>
      <c r="B17" s="54" t="s">
        <v>19</v>
      </c>
      <c r="C17" s="55"/>
      <c r="D17" s="30">
        <v>0</v>
      </c>
      <c r="E17" s="19">
        <v>1</v>
      </c>
      <c r="F17" s="42">
        <v>1</v>
      </c>
      <c r="G17" s="50"/>
      <c r="H17" s="45" t="s">
        <v>63</v>
      </c>
      <c r="I17" s="46"/>
      <c r="J17" s="46"/>
      <c r="K17" s="47"/>
    </row>
    <row r="18" spans="1:19" ht="14.5" customHeight="1" x14ac:dyDescent="0.35">
      <c r="A18" s="4" t="s">
        <v>38</v>
      </c>
      <c r="B18" s="54" t="s">
        <v>20</v>
      </c>
      <c r="C18" s="55"/>
      <c r="D18" s="29">
        <v>1</v>
      </c>
      <c r="E18" s="19">
        <v>1</v>
      </c>
      <c r="F18" s="42">
        <v>1</v>
      </c>
      <c r="G18" s="50"/>
      <c r="H18" s="45" t="s">
        <v>63</v>
      </c>
      <c r="I18" s="46"/>
      <c r="J18" s="46"/>
      <c r="K18" s="47"/>
    </row>
    <row r="19" spans="1:19" ht="14.5" customHeight="1" x14ac:dyDescent="0.35">
      <c r="A19" s="4" t="s">
        <v>39</v>
      </c>
      <c r="B19" s="54" t="s">
        <v>21</v>
      </c>
      <c r="C19" s="55"/>
      <c r="D19" s="29">
        <v>5</v>
      </c>
      <c r="E19" s="19">
        <v>120</v>
      </c>
      <c r="F19" s="42">
        <v>120</v>
      </c>
      <c r="G19" s="50"/>
      <c r="H19" s="45" t="s">
        <v>63</v>
      </c>
      <c r="I19" s="46"/>
      <c r="J19" s="46"/>
      <c r="K19" s="47"/>
    </row>
    <row r="20" spans="1:19" ht="14.5" customHeight="1" x14ac:dyDescent="0.35">
      <c r="A20" s="4" t="s">
        <v>40</v>
      </c>
      <c r="B20" s="54" t="s">
        <v>22</v>
      </c>
      <c r="C20" s="55"/>
      <c r="D20" s="29">
        <v>-1</v>
      </c>
      <c r="E20" s="19" t="s">
        <v>23</v>
      </c>
      <c r="F20" s="42" t="s">
        <v>65</v>
      </c>
      <c r="G20" s="50"/>
      <c r="H20" s="45" t="s">
        <v>63</v>
      </c>
      <c r="I20" s="46"/>
      <c r="J20" s="46"/>
      <c r="K20" s="47"/>
    </row>
    <row r="21" spans="1:19" ht="14.5" customHeight="1" x14ac:dyDescent="0.35">
      <c r="A21" s="4" t="s">
        <v>41</v>
      </c>
      <c r="B21" s="54" t="s">
        <v>24</v>
      </c>
      <c r="C21" s="55"/>
      <c r="D21" s="29" t="s">
        <v>64</v>
      </c>
      <c r="E21" s="19" t="s">
        <v>16</v>
      </c>
      <c r="F21" s="42" t="s">
        <v>57</v>
      </c>
      <c r="G21" s="50"/>
      <c r="H21" s="45" t="s">
        <v>17</v>
      </c>
      <c r="I21" s="46"/>
      <c r="J21" s="46"/>
      <c r="K21" s="47"/>
    </row>
    <row r="22" spans="1:19" ht="35.5" customHeight="1" x14ac:dyDescent="0.35">
      <c r="A22" s="4" t="s">
        <v>42</v>
      </c>
      <c r="B22" s="54" t="s">
        <v>25</v>
      </c>
      <c r="C22" s="55"/>
      <c r="D22" s="32" t="s">
        <v>62</v>
      </c>
      <c r="E22" s="19" t="s">
        <v>18</v>
      </c>
      <c r="F22" s="42" t="s">
        <v>66</v>
      </c>
      <c r="G22" s="50"/>
      <c r="H22" s="45" t="s">
        <v>63</v>
      </c>
      <c r="I22" s="46"/>
      <c r="J22" s="46"/>
      <c r="K22" s="47"/>
    </row>
    <row r="32" spans="1:19" x14ac:dyDescent="0.35">
      <c r="O32" s="1"/>
      <c r="P32" s="1"/>
      <c r="Q32" s="1"/>
      <c r="R32" s="1"/>
      <c r="S32" s="1"/>
    </row>
    <row r="33" spans="15:19" x14ac:dyDescent="0.35">
      <c r="O33" s="1"/>
      <c r="P33" s="1"/>
      <c r="Q33" s="1"/>
      <c r="R33" s="1"/>
      <c r="S33" s="1"/>
    </row>
    <row r="34" spans="15:19" x14ac:dyDescent="0.35">
      <c r="O34" s="1"/>
      <c r="P34" s="1"/>
      <c r="Q34" s="1"/>
      <c r="R34" s="1"/>
      <c r="S34" s="1"/>
    </row>
    <row r="35" spans="15:19" x14ac:dyDescent="0.35">
      <c r="O35" s="1"/>
      <c r="P35" s="1"/>
      <c r="Q35" s="1"/>
      <c r="R35" s="1"/>
      <c r="S35" s="1"/>
    </row>
    <row r="36" spans="15:19" x14ac:dyDescent="0.35">
      <c r="O36" s="1"/>
      <c r="P36" s="1"/>
      <c r="Q36" s="1"/>
      <c r="R36" s="1"/>
      <c r="S36" s="1"/>
    </row>
    <row r="37" spans="15:19" x14ac:dyDescent="0.35">
      <c r="O37" s="1"/>
      <c r="P37" s="1"/>
      <c r="Q37" s="1"/>
      <c r="R37" s="1"/>
      <c r="S37" s="1"/>
    </row>
    <row r="38" spans="15:19" x14ac:dyDescent="0.35">
      <c r="O38" s="1"/>
      <c r="P38" s="1"/>
      <c r="Q38" s="1"/>
      <c r="R38" s="1"/>
      <c r="S38" s="1"/>
    </row>
  </sheetData>
  <mergeCells count="34">
    <mergeCell ref="B20:C20"/>
    <mergeCell ref="F22:G22"/>
    <mergeCell ref="H21:K21"/>
    <mergeCell ref="B22:C22"/>
    <mergeCell ref="B18:C18"/>
    <mergeCell ref="F21:G21"/>
    <mergeCell ref="B21:C21"/>
    <mergeCell ref="H22:K22"/>
    <mergeCell ref="F19:G19"/>
    <mergeCell ref="F1:K1"/>
    <mergeCell ref="F20:G20"/>
    <mergeCell ref="F18:G18"/>
    <mergeCell ref="G10:K10"/>
    <mergeCell ref="H20:K20"/>
    <mergeCell ref="H18:K18"/>
    <mergeCell ref="H17:K17"/>
    <mergeCell ref="G8:K8"/>
    <mergeCell ref="H2:K2"/>
    <mergeCell ref="H6:K6"/>
    <mergeCell ref="G12:K12"/>
    <mergeCell ref="F16:G16"/>
    <mergeCell ref="G11:K11"/>
    <mergeCell ref="H16:K16"/>
    <mergeCell ref="G9:K9"/>
    <mergeCell ref="H19:K19"/>
    <mergeCell ref="B8:C8"/>
    <mergeCell ref="F17:G17"/>
    <mergeCell ref="B10:C10"/>
    <mergeCell ref="B17:C17"/>
    <mergeCell ref="B19:C19"/>
    <mergeCell ref="B12:C12"/>
    <mergeCell ref="B9:C9"/>
    <mergeCell ref="B11:C11"/>
    <mergeCell ref="B16:C16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A987-02D0-463B-9B12-26F0A8E439D3}">
  <dimension ref="A1:X15"/>
  <sheetViews>
    <sheetView zoomScale="70" zoomScaleNormal="70" workbookViewId="0">
      <selection activeCell="K16" sqref="K16"/>
    </sheetView>
  </sheetViews>
  <sheetFormatPr defaultRowHeight="14.5" x14ac:dyDescent="0.35"/>
  <cols>
    <col min="2" max="2" width="19.26953125" customWidth="1"/>
    <col min="3" max="3" width="17" customWidth="1"/>
    <col min="11" max="11" width="12.90625" customWidth="1"/>
    <col min="16" max="16" width="17.26953125" customWidth="1"/>
  </cols>
  <sheetData>
    <row r="1" spans="1:24" ht="20.5" thickBot="1" x14ac:dyDescent="0.4">
      <c r="A1" s="21"/>
      <c r="B1" s="21"/>
      <c r="C1" s="21"/>
      <c r="D1" s="95" t="s">
        <v>43</v>
      </c>
      <c r="E1" s="84"/>
      <c r="F1" s="84"/>
      <c r="G1" s="21"/>
      <c r="H1" s="21"/>
      <c r="I1" s="21"/>
      <c r="J1" s="21"/>
      <c r="K1" s="21"/>
    </row>
    <row r="2" spans="1:24" ht="15" thickBot="1" x14ac:dyDescent="0.4">
      <c r="A2" s="88" t="s">
        <v>44</v>
      </c>
      <c r="B2" s="89"/>
      <c r="C2" s="98" t="s">
        <v>364</v>
      </c>
      <c r="D2" s="99"/>
      <c r="E2" s="100"/>
      <c r="F2" s="102" t="s">
        <v>45</v>
      </c>
      <c r="G2" s="99"/>
      <c r="H2" s="92" t="s">
        <v>15</v>
      </c>
      <c r="I2" s="93"/>
      <c r="J2" s="93"/>
      <c r="K2" s="94"/>
    </row>
    <row r="3" spans="1:24" ht="15" thickBot="1" x14ac:dyDescent="0.4">
      <c r="A3" s="90" t="s">
        <v>46</v>
      </c>
      <c r="B3" s="91"/>
      <c r="C3" s="85">
        <v>1</v>
      </c>
      <c r="D3" s="86"/>
      <c r="E3" s="87"/>
      <c r="F3" s="101" t="s">
        <v>47</v>
      </c>
      <c r="G3" s="86"/>
      <c r="H3" s="92"/>
      <c r="I3" s="93"/>
      <c r="J3" s="93"/>
      <c r="K3" s="94"/>
    </row>
    <row r="4" spans="1:24" ht="41.5" customHeight="1" thickBot="1" x14ac:dyDescent="0.4">
      <c r="A4" s="26" t="s">
        <v>48</v>
      </c>
      <c r="B4" s="121" t="s">
        <v>366</v>
      </c>
      <c r="C4" s="122"/>
      <c r="D4" s="122"/>
      <c r="E4" s="122"/>
      <c r="F4" s="122"/>
      <c r="G4" s="122"/>
      <c r="H4" s="122"/>
      <c r="I4" s="122"/>
      <c r="J4" s="122"/>
      <c r="K4" s="123"/>
    </row>
    <row r="5" spans="1:24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24" x14ac:dyDescent="0.35">
      <c r="A6" s="21"/>
      <c r="B6" s="96" t="s">
        <v>49</v>
      </c>
      <c r="C6" s="84"/>
      <c r="D6" s="22">
        <v>0.67</v>
      </c>
      <c r="E6" s="22"/>
      <c r="F6" s="21"/>
      <c r="G6" s="21"/>
      <c r="H6" s="83" t="s">
        <v>365</v>
      </c>
      <c r="I6" s="84"/>
      <c r="J6" s="84"/>
      <c r="K6" s="84"/>
    </row>
    <row r="7" spans="1:24" x14ac:dyDescent="0.35">
      <c r="A7" s="21"/>
      <c r="B7" s="96" t="s">
        <v>50</v>
      </c>
      <c r="C7" s="84"/>
      <c r="D7" s="22">
        <v>1</v>
      </c>
      <c r="E7" s="22"/>
      <c r="F7" s="21"/>
      <c r="G7" s="21"/>
      <c r="H7" s="21"/>
      <c r="I7" s="21"/>
      <c r="J7" s="21"/>
      <c r="K7" s="21"/>
    </row>
    <row r="8" spans="1:24" ht="15" thickBot="1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24" ht="39" customHeight="1" x14ac:dyDescent="0.35">
      <c r="A9" s="129" t="s">
        <v>51</v>
      </c>
      <c r="B9" s="130" t="s">
        <v>52</v>
      </c>
      <c r="C9" s="100"/>
      <c r="D9" s="131" t="s">
        <v>53</v>
      </c>
      <c r="E9" s="131" t="s">
        <v>54</v>
      </c>
      <c r="F9" s="131" t="s">
        <v>55</v>
      </c>
      <c r="G9" s="131" t="s">
        <v>56</v>
      </c>
      <c r="H9" s="131" t="s">
        <v>57</v>
      </c>
      <c r="I9" s="131" t="s">
        <v>58</v>
      </c>
      <c r="J9" s="131" t="s">
        <v>59</v>
      </c>
      <c r="K9" s="132" t="s">
        <v>49</v>
      </c>
      <c r="O9" s="25"/>
      <c r="P9" s="25"/>
      <c r="Q9" s="25"/>
      <c r="R9" s="25"/>
      <c r="S9" s="25"/>
      <c r="T9" s="25"/>
      <c r="U9" s="25"/>
      <c r="V9" s="25"/>
      <c r="W9" s="25"/>
      <c r="X9" s="124"/>
    </row>
    <row r="10" spans="1:24" x14ac:dyDescent="0.35">
      <c r="A10" s="111">
        <v>1</v>
      </c>
      <c r="B10" s="97" t="s">
        <v>367</v>
      </c>
      <c r="C10" s="125"/>
      <c r="D10" s="36">
        <v>3</v>
      </c>
      <c r="E10" s="36">
        <v>3</v>
      </c>
      <c r="F10" s="36">
        <v>0</v>
      </c>
      <c r="G10" s="36">
        <v>0</v>
      </c>
      <c r="H10" s="36">
        <v>0</v>
      </c>
      <c r="I10" s="36">
        <v>0</v>
      </c>
      <c r="J10" s="36">
        <v>3</v>
      </c>
      <c r="K10" s="133">
        <v>1</v>
      </c>
      <c r="O10" s="25"/>
      <c r="P10" s="25"/>
      <c r="Q10" s="25"/>
      <c r="R10" s="25"/>
      <c r="S10" s="25"/>
      <c r="T10" s="25"/>
      <c r="U10" s="25"/>
      <c r="V10" s="25"/>
      <c r="W10" s="25"/>
      <c r="X10" s="124"/>
    </row>
    <row r="11" spans="1:24" x14ac:dyDescent="0.35">
      <c r="A11" s="111">
        <v>2</v>
      </c>
      <c r="B11" s="97" t="s">
        <v>368</v>
      </c>
      <c r="C11" s="125"/>
      <c r="D11" s="36">
        <v>1</v>
      </c>
      <c r="E11" s="36">
        <v>1</v>
      </c>
      <c r="F11" s="36">
        <v>0</v>
      </c>
      <c r="G11" s="36">
        <v>0</v>
      </c>
      <c r="H11" s="36">
        <v>0</v>
      </c>
      <c r="I11" s="36">
        <v>0</v>
      </c>
      <c r="J11" s="36">
        <v>1</v>
      </c>
      <c r="K11" s="133">
        <v>1</v>
      </c>
      <c r="O11" s="25"/>
      <c r="P11" s="25"/>
      <c r="Q11" s="25"/>
      <c r="R11" s="25"/>
      <c r="S11" s="25"/>
      <c r="T11" s="25"/>
      <c r="U11" s="25"/>
      <c r="V11" s="25"/>
      <c r="W11" s="25"/>
      <c r="X11" s="124"/>
    </row>
    <row r="12" spans="1:24" x14ac:dyDescent="0.35">
      <c r="A12" s="111">
        <v>3</v>
      </c>
      <c r="B12" s="97" t="s">
        <v>369</v>
      </c>
      <c r="C12" s="125"/>
      <c r="D12" s="36">
        <v>1</v>
      </c>
      <c r="E12" s="36">
        <v>1</v>
      </c>
      <c r="F12" s="36">
        <v>0</v>
      </c>
      <c r="G12" s="36">
        <v>0</v>
      </c>
      <c r="H12" s="36">
        <v>0</v>
      </c>
      <c r="I12" s="36">
        <v>0</v>
      </c>
      <c r="J12" s="36">
        <v>1</v>
      </c>
      <c r="K12" s="133">
        <v>1</v>
      </c>
      <c r="O12" s="25"/>
      <c r="P12" s="25"/>
      <c r="Q12" s="25"/>
      <c r="R12" s="25"/>
      <c r="S12" s="25"/>
      <c r="T12" s="25"/>
      <c r="U12" s="25"/>
      <c r="V12" s="25"/>
      <c r="W12" s="25"/>
      <c r="X12" s="124"/>
    </row>
    <row r="13" spans="1:24" ht="15" thickBot="1" x14ac:dyDescent="0.4">
      <c r="A13" s="111">
        <v>4</v>
      </c>
      <c r="B13" s="97" t="s">
        <v>370</v>
      </c>
      <c r="C13" s="125"/>
      <c r="D13" s="36">
        <v>0</v>
      </c>
      <c r="E13" s="36">
        <v>0</v>
      </c>
      <c r="F13" s="36">
        <v>0</v>
      </c>
      <c r="G13" s="36">
        <v>0</v>
      </c>
      <c r="H13" s="36">
        <v>1</v>
      </c>
      <c r="I13" s="36">
        <v>0</v>
      </c>
      <c r="J13" s="36">
        <v>1</v>
      </c>
      <c r="K13" s="133">
        <v>0</v>
      </c>
    </row>
    <row r="14" spans="1:24" ht="15" thickBot="1" x14ac:dyDescent="0.4">
      <c r="A14" s="134"/>
      <c r="B14" s="135"/>
      <c r="C14" s="135"/>
      <c r="D14" s="136"/>
      <c r="E14" s="136"/>
      <c r="F14" s="136"/>
      <c r="G14" s="136"/>
      <c r="H14" s="136"/>
      <c r="I14" s="136"/>
      <c r="J14" s="136"/>
      <c r="K14" s="137"/>
    </row>
    <row r="15" spans="1:24" x14ac:dyDescent="0.35">
      <c r="A15" s="103" t="s">
        <v>60</v>
      </c>
      <c r="B15" s="126" t="s">
        <v>59</v>
      </c>
      <c r="C15" s="127"/>
      <c r="D15" s="128">
        <f>SUM(D10:D13)</f>
        <v>5</v>
      </c>
      <c r="E15" s="128">
        <f>SUM(E10:E13)</f>
        <v>5</v>
      </c>
      <c r="F15" s="128">
        <f>SUM(F10:F13)</f>
        <v>0</v>
      </c>
      <c r="G15" s="128">
        <f>SUM(G10:G13)</f>
        <v>0</v>
      </c>
      <c r="H15" s="128">
        <f>SUM(H10:H13)</f>
        <v>1</v>
      </c>
      <c r="I15" s="128">
        <f>SUM(I10:I13)</f>
        <v>0</v>
      </c>
      <c r="J15" s="128">
        <f>SUM(J10:J13)</f>
        <v>6</v>
      </c>
      <c r="K15" s="138">
        <f>67%</f>
        <v>0.67</v>
      </c>
    </row>
  </sheetData>
  <mergeCells count="20">
    <mergeCell ref="D1:F1"/>
    <mergeCell ref="B6:C6"/>
    <mergeCell ref="B15:C15"/>
    <mergeCell ref="B7:C7"/>
    <mergeCell ref="B12:C12"/>
    <mergeCell ref="C2:E2"/>
    <mergeCell ref="F3:G3"/>
    <mergeCell ref="B11:C11"/>
    <mergeCell ref="B13:C13"/>
    <mergeCell ref="F2:G2"/>
    <mergeCell ref="B10:C10"/>
    <mergeCell ref="A14:K14"/>
    <mergeCell ref="H6:K6"/>
    <mergeCell ref="C3:E3"/>
    <mergeCell ref="B9:C9"/>
    <mergeCell ref="A2:B2"/>
    <mergeCell ref="A3:B3"/>
    <mergeCell ref="H3:K3"/>
    <mergeCell ref="B4:K4"/>
    <mergeCell ref="H2:K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53277-76A4-4E38-B089-E7A06A4F681F}">
  <dimension ref="A1:K19"/>
  <sheetViews>
    <sheetView workbookViewId="0">
      <selection activeCell="E10" sqref="E10"/>
    </sheetView>
  </sheetViews>
  <sheetFormatPr defaultRowHeight="14.5" x14ac:dyDescent="0.35"/>
  <cols>
    <col min="1" max="2" width="8.7265625" style="21"/>
    <col min="3" max="3" width="33.7265625" style="21" customWidth="1"/>
    <col min="4" max="4" width="18.54296875" style="21" customWidth="1"/>
    <col min="5" max="5" width="26.6328125" style="21" customWidth="1"/>
    <col min="6" max="6" width="14.26953125" style="21" customWidth="1"/>
    <col min="7" max="15" width="8.7265625" style="21"/>
    <col min="16" max="16" width="18.453125" style="21" customWidth="1"/>
    <col min="17" max="17" width="21.453125" style="21" customWidth="1"/>
    <col min="18" max="18" width="30.1796875" style="21" customWidth="1"/>
    <col min="19" max="19" width="26.08984375" style="21" customWidth="1"/>
    <col min="20" max="20" width="26" style="21" customWidth="1"/>
    <col min="21" max="16384" width="8.7265625" style="21"/>
  </cols>
  <sheetData>
    <row r="1" spans="1:11" ht="27.5" customHeight="1" x14ac:dyDescent="0.35">
      <c r="A1" s="11" t="s">
        <v>0</v>
      </c>
      <c r="B1" s="10"/>
      <c r="C1" s="10" t="s">
        <v>67</v>
      </c>
      <c r="D1" s="73" t="s">
        <v>1</v>
      </c>
      <c r="E1" s="74"/>
      <c r="F1" s="51" t="s">
        <v>69</v>
      </c>
      <c r="G1" s="52"/>
      <c r="H1" s="52"/>
      <c r="I1" s="52"/>
      <c r="J1" s="52"/>
      <c r="K1" s="53"/>
    </row>
    <row r="2" spans="1:11" ht="15" thickBot="1" x14ac:dyDescent="0.4">
      <c r="A2" s="8" t="s">
        <v>2</v>
      </c>
      <c r="B2" s="7"/>
      <c r="C2" s="7" t="s">
        <v>15</v>
      </c>
      <c r="D2" s="6" t="s">
        <v>3</v>
      </c>
      <c r="E2" s="59"/>
      <c r="F2" s="72"/>
      <c r="G2" s="6" t="s">
        <v>4</v>
      </c>
      <c r="H2" s="59">
        <v>1</v>
      </c>
      <c r="I2" s="60"/>
      <c r="J2" s="60"/>
      <c r="K2" s="61"/>
    </row>
    <row r="4" spans="1:11" x14ac:dyDescent="0.35">
      <c r="A4" s="2" t="s">
        <v>5</v>
      </c>
    </row>
    <row r="5" spans="1:11" ht="15" thickBot="1" x14ac:dyDescent="0.4"/>
    <row r="6" spans="1:11" ht="15" thickBot="1" x14ac:dyDescent="0.4">
      <c r="A6" s="14" t="s">
        <v>6</v>
      </c>
      <c r="B6" s="15"/>
      <c r="C6" s="17" t="s">
        <v>15</v>
      </c>
      <c r="D6" s="13" t="s">
        <v>7</v>
      </c>
      <c r="E6" s="70">
        <v>46049</v>
      </c>
      <c r="F6" s="71"/>
      <c r="G6" s="13" t="s">
        <v>8</v>
      </c>
      <c r="H6" s="62" t="s">
        <v>68</v>
      </c>
      <c r="I6" s="63"/>
      <c r="J6" s="63"/>
      <c r="K6" s="64"/>
    </row>
    <row r="7" spans="1:11" ht="15" thickBot="1" x14ac:dyDescent="0.4"/>
    <row r="8" spans="1:11" x14ac:dyDescent="0.35">
      <c r="A8" s="3" t="s">
        <v>9</v>
      </c>
      <c r="B8" s="48" t="s">
        <v>10</v>
      </c>
      <c r="C8" s="49"/>
      <c r="F8" s="3" t="s">
        <v>9</v>
      </c>
      <c r="G8" s="48" t="s">
        <v>11</v>
      </c>
      <c r="H8" s="56"/>
      <c r="I8" s="56"/>
      <c r="J8" s="56"/>
      <c r="K8" s="49"/>
    </row>
    <row r="9" spans="1:11" ht="25.5" customHeight="1" x14ac:dyDescent="0.35">
      <c r="A9" s="23">
        <v>1</v>
      </c>
      <c r="B9" s="45" t="s">
        <v>32</v>
      </c>
      <c r="C9" s="47"/>
      <c r="F9" s="23">
        <v>1</v>
      </c>
      <c r="G9" s="42" t="s">
        <v>71</v>
      </c>
      <c r="H9" s="43"/>
      <c r="I9" s="43"/>
      <c r="J9" s="43"/>
      <c r="K9" s="44"/>
    </row>
    <row r="10" spans="1:11" ht="27.5" customHeight="1" x14ac:dyDescent="0.35">
      <c r="A10" s="23">
        <v>2</v>
      </c>
      <c r="B10" s="45" t="s">
        <v>33</v>
      </c>
      <c r="C10" s="47"/>
      <c r="F10" s="23">
        <v>2</v>
      </c>
      <c r="G10" s="42" t="s">
        <v>72</v>
      </c>
      <c r="H10" s="43"/>
      <c r="I10" s="43"/>
      <c r="J10" s="43"/>
      <c r="K10" s="44"/>
    </row>
    <row r="11" spans="1:11" ht="28" customHeight="1" x14ac:dyDescent="0.35">
      <c r="A11" s="23">
        <v>3</v>
      </c>
      <c r="B11" s="45" t="s">
        <v>34</v>
      </c>
      <c r="C11" s="47"/>
      <c r="F11" s="23">
        <v>3</v>
      </c>
      <c r="G11" s="42" t="s">
        <v>73</v>
      </c>
      <c r="H11" s="43"/>
      <c r="I11" s="43"/>
      <c r="J11" s="43"/>
      <c r="K11" s="44"/>
    </row>
    <row r="12" spans="1:11" ht="35.5" customHeight="1" thickBot="1" x14ac:dyDescent="0.4">
      <c r="A12" s="24">
        <v>4</v>
      </c>
      <c r="B12" s="57" t="s">
        <v>70</v>
      </c>
      <c r="C12" s="58"/>
      <c r="F12" s="24">
        <v>4</v>
      </c>
      <c r="G12" s="67" t="s">
        <v>74</v>
      </c>
      <c r="H12" s="68"/>
      <c r="I12" s="68"/>
      <c r="J12" s="68"/>
      <c r="K12" s="69"/>
    </row>
    <row r="13" spans="1:11" ht="25.5" customHeight="1" x14ac:dyDescent="0.35"/>
    <row r="14" spans="1:11" x14ac:dyDescent="0.35">
      <c r="A14" s="16" t="s">
        <v>12</v>
      </c>
    </row>
    <row r="15" spans="1:11" ht="15" thickBot="1" x14ac:dyDescent="0.4"/>
    <row r="16" spans="1:11" ht="44.5" customHeight="1" x14ac:dyDescent="0.35">
      <c r="A16" s="20" t="s">
        <v>36</v>
      </c>
      <c r="B16" s="65" t="s">
        <v>96</v>
      </c>
      <c r="C16" s="66"/>
      <c r="D16" s="31" t="s">
        <v>61</v>
      </c>
      <c r="E16" s="34" t="s">
        <v>94</v>
      </c>
      <c r="F16" s="65" t="s">
        <v>95</v>
      </c>
      <c r="G16" s="56"/>
      <c r="H16" s="39" t="s">
        <v>13</v>
      </c>
      <c r="I16" s="40"/>
      <c r="J16" s="40"/>
      <c r="K16" s="41"/>
    </row>
    <row r="17" spans="1:11" ht="41" customHeight="1" x14ac:dyDescent="0.35">
      <c r="A17" s="23" t="s">
        <v>37</v>
      </c>
      <c r="B17" s="54" t="s">
        <v>75</v>
      </c>
      <c r="C17" s="55"/>
      <c r="D17" s="33" t="s">
        <v>78</v>
      </c>
      <c r="E17" s="19" t="s">
        <v>81</v>
      </c>
      <c r="F17" s="42" t="s">
        <v>86</v>
      </c>
      <c r="G17" s="50"/>
      <c r="H17" s="45" t="s">
        <v>82</v>
      </c>
      <c r="I17" s="46"/>
      <c r="J17" s="46"/>
      <c r="K17" s="47"/>
    </row>
    <row r="18" spans="1:11" ht="32.5" customHeight="1" x14ac:dyDescent="0.35">
      <c r="A18" s="23" t="s">
        <v>38</v>
      </c>
      <c r="B18" s="54" t="s">
        <v>76</v>
      </c>
      <c r="C18" s="55"/>
      <c r="D18" s="32" t="s">
        <v>79</v>
      </c>
      <c r="E18" s="19" t="s">
        <v>83</v>
      </c>
      <c r="F18" s="42" t="s">
        <v>83</v>
      </c>
      <c r="G18" s="50"/>
      <c r="H18" s="45" t="s">
        <v>63</v>
      </c>
      <c r="I18" s="46"/>
      <c r="J18" s="46"/>
      <c r="K18" s="47"/>
    </row>
    <row r="19" spans="1:11" ht="29" x14ac:dyDescent="0.35">
      <c r="A19" s="23" t="s">
        <v>39</v>
      </c>
      <c r="B19" s="54" t="s">
        <v>77</v>
      </c>
      <c r="C19" s="55"/>
      <c r="D19" s="32" t="s">
        <v>80</v>
      </c>
      <c r="E19" s="19" t="s">
        <v>84</v>
      </c>
      <c r="F19" s="42" t="s">
        <v>85</v>
      </c>
      <c r="G19" s="50"/>
      <c r="H19" s="45" t="s">
        <v>63</v>
      </c>
      <c r="I19" s="46"/>
      <c r="J19" s="46"/>
      <c r="K19" s="47"/>
    </row>
  </sheetData>
  <mergeCells count="28">
    <mergeCell ref="B9:C9"/>
    <mergeCell ref="G9:K9"/>
    <mergeCell ref="H18:K18"/>
    <mergeCell ref="B19:C19"/>
    <mergeCell ref="F19:G19"/>
    <mergeCell ref="H19:K19"/>
    <mergeCell ref="B16:C16"/>
    <mergeCell ref="F16:G16"/>
    <mergeCell ref="H16:K16"/>
    <mergeCell ref="B17:C17"/>
    <mergeCell ref="F17:G17"/>
    <mergeCell ref="H17:K17"/>
    <mergeCell ref="E6:F6"/>
    <mergeCell ref="E2:F2"/>
    <mergeCell ref="D1:E1"/>
    <mergeCell ref="B18:C18"/>
    <mergeCell ref="F18:G18"/>
    <mergeCell ref="B10:C10"/>
    <mergeCell ref="G10:K10"/>
    <mergeCell ref="B11:C11"/>
    <mergeCell ref="G11:K11"/>
    <mergeCell ref="B12:C12"/>
    <mergeCell ref="G12:K12"/>
    <mergeCell ref="F1:K1"/>
    <mergeCell ref="H2:K2"/>
    <mergeCell ref="H6:K6"/>
    <mergeCell ref="B8:C8"/>
    <mergeCell ref="G8:K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A165-9778-4396-8167-07648A29C2ED}">
  <dimension ref="A1:X14"/>
  <sheetViews>
    <sheetView topLeftCell="A2" workbookViewId="0">
      <selection activeCell="M8" sqref="M8"/>
    </sheetView>
  </sheetViews>
  <sheetFormatPr defaultRowHeight="14.5" x14ac:dyDescent="0.35"/>
  <cols>
    <col min="1" max="1" width="8.7265625" style="25"/>
    <col min="2" max="2" width="19.26953125" style="25" customWidth="1"/>
    <col min="3" max="3" width="17" style="25" customWidth="1"/>
    <col min="4" max="10" width="8.7265625" style="25"/>
    <col min="11" max="11" width="12.90625" style="25" customWidth="1"/>
    <col min="12" max="15" width="8.7265625" style="25"/>
    <col min="16" max="16" width="17.26953125" style="25" customWidth="1"/>
    <col min="17" max="16384" width="8.7265625" style="25"/>
  </cols>
  <sheetData>
    <row r="1" spans="1:24" ht="20.5" thickBot="1" x14ac:dyDescent="0.4">
      <c r="D1" s="95" t="s">
        <v>43</v>
      </c>
      <c r="E1" s="84"/>
      <c r="F1" s="84"/>
    </row>
    <row r="2" spans="1:24" ht="15" thickBot="1" x14ac:dyDescent="0.4">
      <c r="A2" s="88" t="s">
        <v>44</v>
      </c>
      <c r="B2" s="89"/>
      <c r="C2" s="98" t="s">
        <v>364</v>
      </c>
      <c r="D2" s="99"/>
      <c r="E2" s="100"/>
      <c r="F2" s="102" t="s">
        <v>45</v>
      </c>
      <c r="G2" s="99"/>
      <c r="H2" s="92" t="s">
        <v>15</v>
      </c>
      <c r="I2" s="93"/>
      <c r="J2" s="93"/>
      <c r="K2" s="94"/>
    </row>
    <row r="3" spans="1:24" ht="15" thickBot="1" x14ac:dyDescent="0.4">
      <c r="A3" s="90" t="s">
        <v>46</v>
      </c>
      <c r="B3" s="91"/>
      <c r="C3" s="85">
        <v>1</v>
      </c>
      <c r="D3" s="86"/>
      <c r="E3" s="87"/>
      <c r="F3" s="101" t="s">
        <v>47</v>
      </c>
      <c r="G3" s="86"/>
      <c r="H3" s="92"/>
      <c r="I3" s="93"/>
      <c r="J3" s="93"/>
      <c r="K3" s="94"/>
    </row>
    <row r="4" spans="1:24" ht="41.5" customHeight="1" thickBot="1" x14ac:dyDescent="0.4">
      <c r="A4" s="27" t="s">
        <v>48</v>
      </c>
      <c r="B4" s="121" t="s">
        <v>375</v>
      </c>
      <c r="C4" s="122"/>
      <c r="D4" s="122"/>
      <c r="E4" s="122"/>
      <c r="F4" s="122"/>
      <c r="G4" s="122"/>
      <c r="H4" s="122"/>
      <c r="I4" s="122"/>
      <c r="J4" s="122"/>
      <c r="K4" s="123"/>
    </row>
    <row r="6" spans="1:24" x14ac:dyDescent="0.35">
      <c r="B6" s="96" t="s">
        <v>49</v>
      </c>
      <c r="C6" s="84"/>
      <c r="D6" s="22">
        <v>1</v>
      </c>
      <c r="E6" s="22"/>
      <c r="H6" s="83" t="s">
        <v>365</v>
      </c>
      <c r="I6" s="84"/>
      <c r="J6" s="84"/>
      <c r="K6" s="84"/>
    </row>
    <row r="7" spans="1:24" x14ac:dyDescent="0.35">
      <c r="B7" s="96" t="s">
        <v>50</v>
      </c>
      <c r="C7" s="84"/>
      <c r="D7" s="22">
        <v>0.67</v>
      </c>
      <c r="E7" s="22"/>
    </row>
    <row r="8" spans="1:24" ht="15" thickBot="1" x14ac:dyDescent="0.4"/>
    <row r="9" spans="1:24" ht="39" customHeight="1" x14ac:dyDescent="0.35">
      <c r="A9" s="129" t="s">
        <v>51</v>
      </c>
      <c r="B9" s="130" t="s">
        <v>52</v>
      </c>
      <c r="C9" s="100"/>
      <c r="D9" s="131" t="s">
        <v>53</v>
      </c>
      <c r="E9" s="131" t="s">
        <v>54</v>
      </c>
      <c r="F9" s="131" t="s">
        <v>55</v>
      </c>
      <c r="G9" s="131" t="s">
        <v>56</v>
      </c>
      <c r="H9" s="131" t="s">
        <v>57</v>
      </c>
      <c r="I9" s="131" t="s">
        <v>58</v>
      </c>
      <c r="J9" s="131" t="s">
        <v>59</v>
      </c>
      <c r="K9" s="132" t="s">
        <v>49</v>
      </c>
      <c r="X9" s="124"/>
    </row>
    <row r="10" spans="1:24" x14ac:dyDescent="0.35">
      <c r="A10" s="111">
        <v>1</v>
      </c>
      <c r="B10" s="97" t="s">
        <v>372</v>
      </c>
      <c r="C10" s="125"/>
      <c r="D10" s="36">
        <v>1</v>
      </c>
      <c r="E10" s="36">
        <v>0</v>
      </c>
      <c r="F10" s="36">
        <v>1</v>
      </c>
      <c r="G10" s="36">
        <v>0</v>
      </c>
      <c r="H10" s="36">
        <v>0</v>
      </c>
      <c r="I10" s="36">
        <v>0</v>
      </c>
      <c r="J10" s="36">
        <v>1</v>
      </c>
      <c r="K10" s="133">
        <v>1</v>
      </c>
      <c r="X10" s="124"/>
    </row>
    <row r="11" spans="1:24" x14ac:dyDescent="0.35">
      <c r="A11" s="111">
        <v>2</v>
      </c>
      <c r="B11" s="97" t="s">
        <v>373</v>
      </c>
      <c r="C11" s="125"/>
      <c r="D11" s="36">
        <v>1</v>
      </c>
      <c r="E11" s="36">
        <v>1</v>
      </c>
      <c r="F11" s="36">
        <v>0</v>
      </c>
      <c r="G11" s="36">
        <v>0</v>
      </c>
      <c r="H11" s="36">
        <v>0</v>
      </c>
      <c r="I11" s="36">
        <v>0</v>
      </c>
      <c r="J11" s="36">
        <v>1</v>
      </c>
      <c r="K11" s="133">
        <v>1</v>
      </c>
      <c r="X11" s="124"/>
    </row>
    <row r="12" spans="1:24" ht="15" thickBot="1" x14ac:dyDescent="0.4">
      <c r="A12" s="111">
        <v>3</v>
      </c>
      <c r="B12" s="97" t="s">
        <v>374</v>
      </c>
      <c r="C12" s="125"/>
      <c r="D12" s="36">
        <v>1</v>
      </c>
      <c r="E12" s="36">
        <v>1</v>
      </c>
      <c r="F12" s="36">
        <v>0</v>
      </c>
      <c r="G12" s="36">
        <v>0</v>
      </c>
      <c r="H12" s="36">
        <v>0</v>
      </c>
      <c r="I12" s="36">
        <v>0</v>
      </c>
      <c r="J12" s="36">
        <v>1</v>
      </c>
      <c r="K12" s="133">
        <v>1</v>
      </c>
      <c r="X12" s="124"/>
    </row>
    <row r="13" spans="1:24" ht="15" thickBot="1" x14ac:dyDescent="0.4">
      <c r="A13" s="134"/>
      <c r="B13" s="135"/>
      <c r="C13" s="135"/>
      <c r="D13" s="136"/>
      <c r="E13" s="136"/>
      <c r="F13" s="136"/>
      <c r="G13" s="136"/>
      <c r="H13" s="136"/>
      <c r="I13" s="136"/>
      <c r="J13" s="136"/>
      <c r="K13" s="137"/>
    </row>
    <row r="14" spans="1:24" x14ac:dyDescent="0.35">
      <c r="A14" s="103" t="s">
        <v>60</v>
      </c>
      <c r="B14" s="126" t="s">
        <v>59</v>
      </c>
      <c r="C14" s="127"/>
      <c r="D14" s="128">
        <f>SUM(D10:D12)</f>
        <v>3</v>
      </c>
      <c r="E14" s="128">
        <f>SUM(E10:E12)</f>
        <v>2</v>
      </c>
      <c r="F14" s="128">
        <f>SUM(F10:F12)</f>
        <v>1</v>
      </c>
      <c r="G14" s="128">
        <f>SUM(G10:G12)</f>
        <v>0</v>
      </c>
      <c r="H14" s="128">
        <f>SUM(H10:H12)</f>
        <v>0</v>
      </c>
      <c r="I14" s="128">
        <f>SUM(I10:I12)</f>
        <v>0</v>
      </c>
      <c r="J14" s="128">
        <f>SUM(J10:J12)</f>
        <v>3</v>
      </c>
      <c r="K14" s="138">
        <v>1</v>
      </c>
    </row>
  </sheetData>
  <mergeCells count="19">
    <mergeCell ref="B11:C11"/>
    <mergeCell ref="B12:C12"/>
    <mergeCell ref="A13:K13"/>
    <mergeCell ref="B14:C14"/>
    <mergeCell ref="B4:K4"/>
    <mergeCell ref="B6:C6"/>
    <mergeCell ref="H6:K6"/>
    <mergeCell ref="B7:C7"/>
    <mergeCell ref="B9:C9"/>
    <mergeCell ref="B10:C10"/>
    <mergeCell ref="D1:F1"/>
    <mergeCell ref="A2:B2"/>
    <mergeCell ref="C2:E2"/>
    <mergeCell ref="F2:G2"/>
    <mergeCell ref="H2:K2"/>
    <mergeCell ref="A3:B3"/>
    <mergeCell ref="C3:E3"/>
    <mergeCell ref="F3:G3"/>
    <mergeCell ref="H3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5DBA-1FF0-4E63-BB6F-AA87A96EA872}">
  <dimension ref="A1:K24"/>
  <sheetViews>
    <sheetView workbookViewId="0">
      <selection activeCell="D1" sqref="D1:E1"/>
    </sheetView>
  </sheetViews>
  <sheetFormatPr defaultRowHeight="14.5" x14ac:dyDescent="0.35"/>
  <cols>
    <col min="1" max="2" width="8.7265625" style="21"/>
    <col min="3" max="3" width="33.7265625" style="21" customWidth="1"/>
    <col min="4" max="4" width="23.08984375" style="21" customWidth="1"/>
    <col min="5" max="5" width="26.6328125" style="21" customWidth="1"/>
    <col min="6" max="6" width="14.26953125" style="21" customWidth="1"/>
    <col min="7" max="15" width="8.7265625" style="21"/>
    <col min="16" max="16" width="18.453125" style="21" customWidth="1"/>
    <col min="17" max="17" width="21.453125" style="21" customWidth="1"/>
    <col min="18" max="18" width="30.1796875" style="21" customWidth="1"/>
    <col min="19" max="19" width="26.08984375" style="21" customWidth="1"/>
    <col min="20" max="20" width="26" style="21" customWidth="1"/>
    <col min="21" max="16384" width="8.7265625" style="21"/>
  </cols>
  <sheetData>
    <row r="1" spans="1:11" ht="27.5" customHeight="1" x14ac:dyDescent="0.35">
      <c r="A1" s="11" t="s">
        <v>0</v>
      </c>
      <c r="B1" s="10"/>
      <c r="C1" s="10" t="s">
        <v>206</v>
      </c>
      <c r="D1" s="73" t="s">
        <v>1</v>
      </c>
      <c r="E1" s="74"/>
      <c r="F1" s="51" t="s">
        <v>87</v>
      </c>
      <c r="G1" s="52"/>
      <c r="H1" s="52"/>
      <c r="I1" s="52"/>
      <c r="J1" s="52"/>
      <c r="K1" s="53"/>
    </row>
    <row r="2" spans="1:11" ht="15" thickBot="1" x14ac:dyDescent="0.4">
      <c r="A2" s="8" t="s">
        <v>2</v>
      </c>
      <c r="B2" s="7"/>
      <c r="C2" s="7" t="s">
        <v>15</v>
      </c>
      <c r="D2" s="6" t="s">
        <v>3</v>
      </c>
      <c r="E2" s="59"/>
      <c r="F2" s="72"/>
      <c r="G2" s="6" t="s">
        <v>4</v>
      </c>
      <c r="H2" s="59">
        <v>1</v>
      </c>
      <c r="I2" s="60"/>
      <c r="J2" s="60"/>
      <c r="K2" s="61"/>
    </row>
    <row r="4" spans="1:11" x14ac:dyDescent="0.35">
      <c r="A4" s="2" t="s">
        <v>5</v>
      </c>
    </row>
    <row r="5" spans="1:11" ht="15" thickBot="1" x14ac:dyDescent="0.4"/>
    <row r="6" spans="1:11" ht="15" thickBot="1" x14ac:dyDescent="0.4">
      <c r="A6" s="14" t="s">
        <v>6</v>
      </c>
      <c r="B6" s="15"/>
      <c r="C6" s="17" t="s">
        <v>15</v>
      </c>
      <c r="D6" s="13" t="s">
        <v>7</v>
      </c>
      <c r="E6" s="70">
        <v>46049</v>
      </c>
      <c r="F6" s="71"/>
      <c r="G6" s="13" t="s">
        <v>8</v>
      </c>
      <c r="H6" s="62" t="s">
        <v>88</v>
      </c>
      <c r="I6" s="63"/>
      <c r="J6" s="63"/>
      <c r="K6" s="64"/>
    </row>
    <row r="7" spans="1:11" ht="15" thickBot="1" x14ac:dyDescent="0.4"/>
    <row r="8" spans="1:11" x14ac:dyDescent="0.35">
      <c r="A8" s="3" t="s">
        <v>9</v>
      </c>
      <c r="B8" s="48" t="s">
        <v>10</v>
      </c>
      <c r="C8" s="49"/>
      <c r="F8" s="3" t="s">
        <v>9</v>
      </c>
      <c r="G8" s="48" t="s">
        <v>11</v>
      </c>
      <c r="H8" s="56"/>
      <c r="I8" s="56"/>
      <c r="J8" s="56"/>
      <c r="K8" s="49"/>
    </row>
    <row r="9" spans="1:11" ht="25.5" customHeight="1" x14ac:dyDescent="0.35">
      <c r="A9" s="23">
        <v>1</v>
      </c>
      <c r="B9" s="45" t="s">
        <v>32</v>
      </c>
      <c r="C9" s="47"/>
      <c r="F9" s="23">
        <v>1</v>
      </c>
      <c r="G9" s="42" t="s">
        <v>90</v>
      </c>
      <c r="H9" s="43"/>
      <c r="I9" s="43"/>
      <c r="J9" s="43"/>
      <c r="K9" s="44"/>
    </row>
    <row r="10" spans="1:11" ht="27.5" customHeight="1" x14ac:dyDescent="0.35">
      <c r="A10" s="23">
        <v>2</v>
      </c>
      <c r="B10" s="45" t="s">
        <v>33</v>
      </c>
      <c r="C10" s="47"/>
      <c r="F10" s="23">
        <v>2</v>
      </c>
      <c r="G10" s="42" t="s">
        <v>91</v>
      </c>
      <c r="H10" s="43"/>
      <c r="I10" s="43"/>
      <c r="J10" s="43"/>
      <c r="K10" s="44"/>
    </row>
    <row r="11" spans="1:11" ht="28" customHeight="1" x14ac:dyDescent="0.35">
      <c r="A11" s="23">
        <v>3</v>
      </c>
      <c r="B11" s="45" t="s">
        <v>34</v>
      </c>
      <c r="C11" s="47"/>
      <c r="F11" s="23">
        <v>3</v>
      </c>
      <c r="G11" s="42" t="s">
        <v>92</v>
      </c>
      <c r="H11" s="43"/>
      <c r="I11" s="43"/>
      <c r="J11" s="43"/>
      <c r="K11" s="44"/>
    </row>
    <row r="12" spans="1:11" ht="35.5" customHeight="1" thickBot="1" x14ac:dyDescent="0.4">
      <c r="A12" s="24">
        <v>4</v>
      </c>
      <c r="B12" s="57" t="s">
        <v>89</v>
      </c>
      <c r="C12" s="58"/>
      <c r="F12" s="24">
        <v>4</v>
      </c>
      <c r="G12" s="67" t="s">
        <v>93</v>
      </c>
      <c r="H12" s="68"/>
      <c r="I12" s="68"/>
      <c r="J12" s="68"/>
      <c r="K12" s="69"/>
    </row>
    <row r="13" spans="1:11" ht="25.5" customHeight="1" x14ac:dyDescent="0.35"/>
    <row r="14" spans="1:11" x14ac:dyDescent="0.35">
      <c r="A14" s="16" t="s">
        <v>12</v>
      </c>
    </row>
    <row r="15" spans="1:11" ht="15" thickBot="1" x14ac:dyDescent="0.4"/>
    <row r="16" spans="1:11" ht="46.5" customHeight="1" x14ac:dyDescent="0.35">
      <c r="A16" s="20" t="s">
        <v>36</v>
      </c>
      <c r="B16" s="65" t="s">
        <v>96</v>
      </c>
      <c r="C16" s="66"/>
      <c r="D16" s="31" t="s">
        <v>61</v>
      </c>
      <c r="E16" s="34" t="s">
        <v>94</v>
      </c>
      <c r="F16" s="65" t="s">
        <v>95</v>
      </c>
      <c r="G16" s="56"/>
      <c r="H16" s="39" t="s">
        <v>13</v>
      </c>
      <c r="I16" s="40"/>
      <c r="J16" s="40"/>
      <c r="K16" s="41"/>
    </row>
    <row r="17" spans="1:11" ht="29" x14ac:dyDescent="0.35">
      <c r="A17" s="23" t="s">
        <v>37</v>
      </c>
      <c r="B17" s="54" t="s">
        <v>99</v>
      </c>
      <c r="C17" s="55"/>
      <c r="D17" s="30" t="s">
        <v>108</v>
      </c>
      <c r="E17" s="19" t="s">
        <v>113</v>
      </c>
      <c r="F17" s="42" t="s">
        <v>121</v>
      </c>
      <c r="G17" s="50"/>
      <c r="H17" s="45" t="s">
        <v>63</v>
      </c>
      <c r="I17" s="46"/>
      <c r="J17" s="46"/>
      <c r="K17" s="47"/>
    </row>
    <row r="18" spans="1:11" ht="55" customHeight="1" x14ac:dyDescent="0.35">
      <c r="A18" s="23" t="s">
        <v>38</v>
      </c>
      <c r="B18" s="54" t="s">
        <v>100</v>
      </c>
      <c r="C18" s="55"/>
      <c r="D18" s="29" t="s">
        <v>107</v>
      </c>
      <c r="E18" s="19" t="s">
        <v>114</v>
      </c>
      <c r="F18" s="42" t="s">
        <v>122</v>
      </c>
      <c r="G18" s="50"/>
      <c r="H18" s="45" t="s">
        <v>63</v>
      </c>
      <c r="I18" s="46"/>
      <c r="J18" s="46"/>
      <c r="K18" s="47"/>
    </row>
    <row r="19" spans="1:11" ht="48" customHeight="1" x14ac:dyDescent="0.35">
      <c r="A19" s="23" t="s">
        <v>39</v>
      </c>
      <c r="B19" s="54" t="s">
        <v>101</v>
      </c>
      <c r="C19" s="55"/>
      <c r="D19" s="29" t="s">
        <v>108</v>
      </c>
      <c r="E19" s="19" t="s">
        <v>115</v>
      </c>
      <c r="F19" s="42" t="s">
        <v>123</v>
      </c>
      <c r="G19" s="50"/>
      <c r="H19" s="45" t="s">
        <v>63</v>
      </c>
      <c r="I19" s="46"/>
      <c r="J19" s="46"/>
      <c r="K19" s="47"/>
    </row>
    <row r="20" spans="1:11" ht="43.5" x14ac:dyDescent="0.35">
      <c r="A20" s="23" t="s">
        <v>40</v>
      </c>
      <c r="B20" s="54" t="s">
        <v>102</v>
      </c>
      <c r="C20" s="55"/>
      <c r="D20" s="29" t="s">
        <v>109</v>
      </c>
      <c r="E20" s="19" t="s">
        <v>116</v>
      </c>
      <c r="F20" s="42" t="s">
        <v>124</v>
      </c>
      <c r="G20" s="50"/>
      <c r="H20" s="45" t="s">
        <v>63</v>
      </c>
      <c r="I20" s="46"/>
      <c r="J20" s="46"/>
      <c r="K20" s="47"/>
    </row>
    <row r="21" spans="1:11" ht="29" x14ac:dyDescent="0.35">
      <c r="A21" s="23" t="s">
        <v>41</v>
      </c>
      <c r="B21" s="54" t="s">
        <v>103</v>
      </c>
      <c r="C21" s="55"/>
      <c r="D21" s="29" t="s">
        <v>110</v>
      </c>
      <c r="E21" s="19" t="s">
        <v>117</v>
      </c>
      <c r="F21" s="42" t="s">
        <v>63</v>
      </c>
      <c r="G21" s="50"/>
      <c r="H21" s="45" t="s">
        <v>63</v>
      </c>
      <c r="I21" s="46"/>
      <c r="J21" s="46"/>
      <c r="K21" s="47"/>
    </row>
    <row r="22" spans="1:11" ht="29" x14ac:dyDescent="0.35">
      <c r="A22" s="23" t="s">
        <v>42</v>
      </c>
      <c r="B22" s="54" t="s">
        <v>104</v>
      </c>
      <c r="C22" s="75"/>
      <c r="D22" s="29"/>
      <c r="E22" s="19" t="s">
        <v>118</v>
      </c>
      <c r="F22" s="45" t="s">
        <v>57</v>
      </c>
      <c r="G22" s="76"/>
      <c r="H22" s="45" t="s">
        <v>17</v>
      </c>
      <c r="I22" s="46"/>
      <c r="J22" s="46"/>
      <c r="K22" s="47"/>
    </row>
    <row r="23" spans="1:11" ht="46.5" customHeight="1" x14ac:dyDescent="0.35">
      <c r="A23" s="23" t="s">
        <v>97</v>
      </c>
      <c r="B23" s="54" t="s">
        <v>105</v>
      </c>
      <c r="C23" s="75"/>
      <c r="D23" s="29" t="s">
        <v>111</v>
      </c>
      <c r="E23" s="19" t="s">
        <v>119</v>
      </c>
      <c r="F23" s="45" t="s">
        <v>125</v>
      </c>
      <c r="G23" s="76"/>
      <c r="H23" s="45" t="s">
        <v>63</v>
      </c>
      <c r="I23" s="46"/>
      <c r="J23" s="46"/>
      <c r="K23" s="47"/>
    </row>
    <row r="24" spans="1:11" ht="29" x14ac:dyDescent="0.35">
      <c r="A24" s="23" t="s">
        <v>98</v>
      </c>
      <c r="B24" s="54" t="s">
        <v>106</v>
      </c>
      <c r="C24" s="55"/>
      <c r="D24" s="32" t="s">
        <v>112</v>
      </c>
      <c r="E24" s="19" t="s">
        <v>120</v>
      </c>
      <c r="F24" s="42" t="s">
        <v>126</v>
      </c>
      <c r="G24" s="50"/>
      <c r="H24" s="45" t="s">
        <v>127</v>
      </c>
      <c r="I24" s="46"/>
      <c r="J24" s="46"/>
      <c r="K24" s="47"/>
    </row>
  </sheetData>
  <mergeCells count="43">
    <mergeCell ref="B9:C9"/>
    <mergeCell ref="G9:K9"/>
    <mergeCell ref="E6:F6"/>
    <mergeCell ref="E2:F2"/>
    <mergeCell ref="D1:E1"/>
    <mergeCell ref="F1:K1"/>
    <mergeCell ref="H2:K2"/>
    <mergeCell ref="H6:K6"/>
    <mergeCell ref="B8:C8"/>
    <mergeCell ref="G8:K8"/>
    <mergeCell ref="B10:C10"/>
    <mergeCell ref="G10:K10"/>
    <mergeCell ref="B11:C11"/>
    <mergeCell ref="G11:K11"/>
    <mergeCell ref="B12:C12"/>
    <mergeCell ref="G12:K12"/>
    <mergeCell ref="B16:C16"/>
    <mergeCell ref="F16:G16"/>
    <mergeCell ref="H16:K16"/>
    <mergeCell ref="B17:C17"/>
    <mergeCell ref="F17:G17"/>
    <mergeCell ref="H17:K17"/>
    <mergeCell ref="B18:C18"/>
    <mergeCell ref="F18:G18"/>
    <mergeCell ref="H18:K18"/>
    <mergeCell ref="B19:C19"/>
    <mergeCell ref="F19:G19"/>
    <mergeCell ref="H19:K19"/>
    <mergeCell ref="B20:C20"/>
    <mergeCell ref="F20:G20"/>
    <mergeCell ref="H20:K20"/>
    <mergeCell ref="B21:C21"/>
    <mergeCell ref="F21:G21"/>
    <mergeCell ref="H21:K21"/>
    <mergeCell ref="B24:C24"/>
    <mergeCell ref="F24:G24"/>
    <mergeCell ref="H24:K24"/>
    <mergeCell ref="B23:C23"/>
    <mergeCell ref="B22:C22"/>
    <mergeCell ref="F22:G22"/>
    <mergeCell ref="F23:G23"/>
    <mergeCell ref="H22:K22"/>
    <mergeCell ref="H23:K23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B44A2-6FCB-4617-921B-76065AF31A1E}">
  <dimension ref="A1:X19"/>
  <sheetViews>
    <sheetView topLeftCell="B6" workbookViewId="0">
      <selection activeCell="D8" sqref="D8"/>
    </sheetView>
  </sheetViews>
  <sheetFormatPr defaultRowHeight="14.5" x14ac:dyDescent="0.35"/>
  <cols>
    <col min="1" max="1" width="8.7265625" style="25"/>
    <col min="2" max="2" width="19.26953125" style="25" customWidth="1"/>
    <col min="3" max="3" width="26.7265625" style="25" customWidth="1"/>
    <col min="4" max="10" width="8.7265625" style="25"/>
    <col min="11" max="11" width="12.90625" style="25" customWidth="1"/>
    <col min="12" max="15" width="8.7265625" style="25"/>
    <col min="16" max="16" width="17.26953125" style="25" customWidth="1"/>
    <col min="17" max="16384" width="8.7265625" style="25"/>
  </cols>
  <sheetData>
    <row r="1" spans="1:24" ht="20.5" thickBot="1" x14ac:dyDescent="0.4">
      <c r="D1" s="95" t="s">
        <v>43</v>
      </c>
      <c r="E1" s="84"/>
      <c r="F1" s="84"/>
    </row>
    <row r="2" spans="1:24" ht="15" thickBot="1" x14ac:dyDescent="0.4">
      <c r="A2" s="88" t="s">
        <v>44</v>
      </c>
      <c r="B2" s="89"/>
      <c r="C2" s="98" t="s">
        <v>377</v>
      </c>
      <c r="D2" s="99"/>
      <c r="E2" s="100"/>
      <c r="F2" s="102" t="s">
        <v>45</v>
      </c>
      <c r="G2" s="99"/>
      <c r="H2" s="92" t="s">
        <v>15</v>
      </c>
      <c r="I2" s="93"/>
      <c r="J2" s="93"/>
      <c r="K2" s="94"/>
    </row>
    <row r="3" spans="1:24" ht="15" thickBot="1" x14ac:dyDescent="0.4">
      <c r="A3" s="90" t="s">
        <v>46</v>
      </c>
      <c r="B3" s="91"/>
      <c r="C3" s="85">
        <v>1</v>
      </c>
      <c r="D3" s="86"/>
      <c r="E3" s="87"/>
      <c r="F3" s="101" t="s">
        <v>47</v>
      </c>
      <c r="G3" s="86"/>
      <c r="H3" s="92"/>
      <c r="I3" s="93"/>
      <c r="J3" s="93"/>
      <c r="K3" s="94"/>
    </row>
    <row r="4" spans="1:24" ht="41.5" customHeight="1" thickBot="1" x14ac:dyDescent="0.4">
      <c r="A4" s="27" t="s">
        <v>48</v>
      </c>
      <c r="B4" s="121" t="s">
        <v>391</v>
      </c>
      <c r="C4" s="122"/>
      <c r="D4" s="122"/>
      <c r="E4" s="122"/>
      <c r="F4" s="122"/>
      <c r="G4" s="122"/>
      <c r="H4" s="122"/>
      <c r="I4" s="122"/>
      <c r="J4" s="122"/>
      <c r="K4" s="123"/>
    </row>
    <row r="6" spans="1:24" x14ac:dyDescent="0.35">
      <c r="B6" s="96" t="s">
        <v>49</v>
      </c>
      <c r="C6" s="84"/>
      <c r="D6" s="22">
        <v>0.88</v>
      </c>
      <c r="E6" s="22"/>
      <c r="H6" s="83" t="s">
        <v>365</v>
      </c>
      <c r="I6" s="84"/>
      <c r="J6" s="84"/>
      <c r="K6" s="84"/>
    </row>
    <row r="7" spans="1:24" x14ac:dyDescent="0.35">
      <c r="B7" s="96" t="s">
        <v>50</v>
      </c>
      <c r="C7" s="84"/>
      <c r="D7" s="22">
        <v>0.86</v>
      </c>
      <c r="E7" s="22"/>
    </row>
    <row r="8" spans="1:24" ht="15" thickBot="1" x14ac:dyDescent="0.4"/>
    <row r="9" spans="1:24" ht="39" customHeight="1" x14ac:dyDescent="0.35">
      <c r="A9" s="129" t="s">
        <v>51</v>
      </c>
      <c r="B9" s="144" t="s">
        <v>52</v>
      </c>
      <c r="C9" s="145"/>
      <c r="D9" s="131" t="s">
        <v>53</v>
      </c>
      <c r="E9" s="131" t="s">
        <v>54</v>
      </c>
      <c r="F9" s="131" t="s">
        <v>55</v>
      </c>
      <c r="G9" s="131" t="s">
        <v>56</v>
      </c>
      <c r="H9" s="131" t="s">
        <v>57</v>
      </c>
      <c r="I9" s="131" t="s">
        <v>58</v>
      </c>
      <c r="J9" s="131" t="s">
        <v>59</v>
      </c>
      <c r="K9" s="132" t="s">
        <v>49</v>
      </c>
      <c r="X9" s="124"/>
    </row>
    <row r="10" spans="1:24" x14ac:dyDescent="0.35">
      <c r="A10" s="140">
        <v>1</v>
      </c>
      <c r="B10" s="146" t="s">
        <v>403</v>
      </c>
      <c r="C10" s="146"/>
      <c r="D10" s="36">
        <v>1</v>
      </c>
      <c r="E10" s="36">
        <v>1</v>
      </c>
      <c r="F10" s="36">
        <v>0</v>
      </c>
      <c r="G10" s="36">
        <v>0</v>
      </c>
      <c r="H10" s="36">
        <v>0</v>
      </c>
      <c r="I10" s="36">
        <v>0</v>
      </c>
      <c r="J10" s="36">
        <v>1</v>
      </c>
      <c r="K10" s="133">
        <v>1</v>
      </c>
      <c r="V10" s="124"/>
      <c r="X10" s="124"/>
    </row>
    <row r="11" spans="1:24" x14ac:dyDescent="0.35">
      <c r="A11" s="140">
        <v>2</v>
      </c>
      <c r="B11" s="141" t="s">
        <v>404</v>
      </c>
      <c r="C11" s="141"/>
      <c r="D11" s="36">
        <v>1</v>
      </c>
      <c r="E11" s="36">
        <v>1</v>
      </c>
      <c r="F11" s="36">
        <v>0</v>
      </c>
      <c r="G11" s="36">
        <v>0</v>
      </c>
      <c r="H11" s="36">
        <v>0</v>
      </c>
      <c r="I11" s="36">
        <v>0</v>
      </c>
      <c r="J11" s="36">
        <v>1</v>
      </c>
      <c r="K11" s="133">
        <v>1</v>
      </c>
      <c r="V11" s="124"/>
      <c r="X11" s="124"/>
    </row>
    <row r="12" spans="1:24" x14ac:dyDescent="0.35">
      <c r="A12" s="140">
        <v>3</v>
      </c>
      <c r="B12" s="141" t="s">
        <v>405</v>
      </c>
      <c r="C12" s="141"/>
      <c r="D12" s="36">
        <v>1</v>
      </c>
      <c r="E12" s="36">
        <v>1</v>
      </c>
      <c r="F12" s="36">
        <v>0</v>
      </c>
      <c r="G12" s="36">
        <v>0</v>
      </c>
      <c r="H12" s="36">
        <v>0</v>
      </c>
      <c r="I12" s="36">
        <v>0</v>
      </c>
      <c r="J12" s="36">
        <v>1</v>
      </c>
      <c r="K12" s="133">
        <v>1</v>
      </c>
      <c r="V12" s="124"/>
      <c r="X12" s="124"/>
    </row>
    <row r="13" spans="1:24" x14ac:dyDescent="0.35">
      <c r="A13" s="140">
        <v>4</v>
      </c>
      <c r="B13" s="141" t="s">
        <v>406</v>
      </c>
      <c r="C13" s="141"/>
      <c r="D13" s="36">
        <v>1</v>
      </c>
      <c r="E13" s="36">
        <v>1</v>
      </c>
      <c r="F13" s="36">
        <v>0</v>
      </c>
      <c r="G13" s="36">
        <v>0</v>
      </c>
      <c r="H13" s="36">
        <v>0</v>
      </c>
      <c r="I13" s="36">
        <v>0</v>
      </c>
      <c r="J13" s="36">
        <v>1</v>
      </c>
      <c r="K13" s="133">
        <v>1</v>
      </c>
      <c r="V13" s="124"/>
      <c r="X13" s="124"/>
    </row>
    <row r="14" spans="1:24" x14ac:dyDescent="0.35">
      <c r="A14" s="140">
        <v>5</v>
      </c>
      <c r="B14" s="141" t="s">
        <v>376</v>
      </c>
      <c r="C14" s="80"/>
      <c r="D14" s="36">
        <v>1</v>
      </c>
      <c r="E14" s="36">
        <v>1</v>
      </c>
      <c r="F14" s="36">
        <v>0</v>
      </c>
      <c r="G14" s="36">
        <v>0</v>
      </c>
      <c r="H14" s="36">
        <v>0</v>
      </c>
      <c r="I14" s="36">
        <v>0</v>
      </c>
      <c r="J14" s="36">
        <v>1</v>
      </c>
      <c r="K14" s="133">
        <v>1</v>
      </c>
      <c r="V14" s="124"/>
      <c r="X14" s="124"/>
    </row>
    <row r="15" spans="1:24" x14ac:dyDescent="0.35">
      <c r="A15" s="140">
        <v>6</v>
      </c>
      <c r="B15" s="141" t="s">
        <v>378</v>
      </c>
      <c r="C15" s="80"/>
      <c r="D15" s="36">
        <v>0</v>
      </c>
      <c r="E15" s="36">
        <v>0</v>
      </c>
      <c r="F15" s="36">
        <v>0</v>
      </c>
      <c r="G15" s="36">
        <v>0</v>
      </c>
      <c r="H15" s="36">
        <v>1</v>
      </c>
      <c r="I15" s="36">
        <v>0</v>
      </c>
      <c r="J15" s="36">
        <v>1</v>
      </c>
      <c r="K15" s="133">
        <v>0</v>
      </c>
      <c r="V15" s="124"/>
      <c r="X15" s="124"/>
    </row>
    <row r="16" spans="1:24" x14ac:dyDescent="0.35">
      <c r="A16" s="140">
        <v>7</v>
      </c>
      <c r="B16" s="141" t="s">
        <v>379</v>
      </c>
      <c r="C16" s="80"/>
      <c r="D16" s="36">
        <v>1</v>
      </c>
      <c r="E16" s="36">
        <v>1</v>
      </c>
      <c r="F16" s="36">
        <v>0</v>
      </c>
      <c r="G16" s="36">
        <v>0</v>
      </c>
      <c r="H16" s="36">
        <v>0</v>
      </c>
      <c r="I16" s="36">
        <v>0</v>
      </c>
      <c r="J16" s="36">
        <v>1</v>
      </c>
      <c r="K16" s="133">
        <v>1</v>
      </c>
      <c r="V16" s="124"/>
      <c r="X16" s="124"/>
    </row>
    <row r="17" spans="1:22" ht="15" thickBot="1" x14ac:dyDescent="0.4">
      <c r="A17" s="140">
        <v>8</v>
      </c>
      <c r="B17" s="141" t="s">
        <v>380</v>
      </c>
      <c r="C17" s="80"/>
      <c r="D17" s="36">
        <v>1</v>
      </c>
      <c r="E17" s="36">
        <v>0</v>
      </c>
      <c r="F17" s="36">
        <v>1</v>
      </c>
      <c r="G17" s="36">
        <v>0</v>
      </c>
      <c r="H17" s="36">
        <v>0</v>
      </c>
      <c r="I17" s="36">
        <v>0</v>
      </c>
      <c r="J17" s="36">
        <v>1</v>
      </c>
      <c r="K17" s="133">
        <v>1</v>
      </c>
      <c r="V17" s="124"/>
    </row>
    <row r="18" spans="1:22" ht="15" thickBot="1" x14ac:dyDescent="0.4">
      <c r="A18" s="134"/>
      <c r="B18" s="136"/>
      <c r="C18" s="136"/>
      <c r="D18" s="136"/>
      <c r="E18" s="136"/>
      <c r="F18" s="136"/>
      <c r="G18" s="136"/>
      <c r="H18" s="136"/>
      <c r="I18" s="136"/>
      <c r="J18" s="136"/>
      <c r="K18" s="137"/>
    </row>
    <row r="19" spans="1:22" x14ac:dyDescent="0.35">
      <c r="A19" s="103" t="s">
        <v>60</v>
      </c>
      <c r="B19" s="126" t="s">
        <v>59</v>
      </c>
      <c r="C19" s="127"/>
      <c r="D19" s="128">
        <f>SUM(D10:D17)</f>
        <v>7</v>
      </c>
      <c r="E19" s="128">
        <f>SUM(E10:E17)</f>
        <v>6</v>
      </c>
      <c r="F19" s="128">
        <f>SUM(F10:F17)</f>
        <v>1</v>
      </c>
      <c r="G19" s="128">
        <f>SUM(G10:G17)</f>
        <v>0</v>
      </c>
      <c r="H19" s="128">
        <f>SUM(H10:H17)</f>
        <v>1</v>
      </c>
      <c r="I19" s="128">
        <f>SUM(I10:I17)</f>
        <v>0</v>
      </c>
      <c r="J19" s="128">
        <f>SUM(J10:J17)</f>
        <v>8</v>
      </c>
      <c r="K19" s="138">
        <f>88%</f>
        <v>0.88</v>
      </c>
    </row>
  </sheetData>
  <mergeCells count="24">
    <mergeCell ref="B11:C11"/>
    <mergeCell ref="B12:C12"/>
    <mergeCell ref="B13:C13"/>
    <mergeCell ref="B10:C10"/>
    <mergeCell ref="B15:C15"/>
    <mergeCell ref="B16:C16"/>
    <mergeCell ref="B17:C17"/>
    <mergeCell ref="A18:K18"/>
    <mergeCell ref="B19:C19"/>
    <mergeCell ref="B4:K4"/>
    <mergeCell ref="B6:C6"/>
    <mergeCell ref="H6:K6"/>
    <mergeCell ref="B7:C7"/>
    <mergeCell ref="B9:C9"/>
    <mergeCell ref="B14:C14"/>
    <mergeCell ref="D1:F1"/>
    <mergeCell ref="A2:B2"/>
    <mergeCell ref="C2:E2"/>
    <mergeCell ref="F2:G2"/>
    <mergeCell ref="H2:K2"/>
    <mergeCell ref="A3:B3"/>
    <mergeCell ref="C3:E3"/>
    <mergeCell ref="F3:G3"/>
    <mergeCell ref="H3: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61F6-3634-4E36-9D80-34C06A87B889}">
  <dimension ref="A1:K39"/>
  <sheetViews>
    <sheetView topLeftCell="A13" zoomScale="70" zoomScaleNormal="70" workbookViewId="0">
      <selection activeCell="N16" sqref="N16"/>
    </sheetView>
  </sheetViews>
  <sheetFormatPr defaultRowHeight="14.5" x14ac:dyDescent="0.35"/>
  <cols>
    <col min="1" max="2" width="8.7265625" style="21"/>
    <col min="3" max="3" width="33.7265625" style="21" customWidth="1"/>
    <col min="4" max="4" width="14.1796875" style="21" customWidth="1"/>
    <col min="5" max="5" width="26.6328125" style="21" customWidth="1"/>
    <col min="6" max="6" width="14.26953125" style="21" customWidth="1"/>
    <col min="7" max="14" width="8.7265625" style="21"/>
    <col min="15" max="15" width="20.90625" style="21" customWidth="1"/>
    <col min="16" max="16" width="18.453125" style="21" customWidth="1"/>
    <col min="17" max="17" width="21.453125" style="21" customWidth="1"/>
    <col min="18" max="18" width="30.1796875" style="21" customWidth="1"/>
    <col min="19" max="19" width="26.08984375" style="21" customWidth="1"/>
    <col min="20" max="20" width="26" style="21" customWidth="1"/>
    <col min="21" max="16384" width="8.7265625" style="21"/>
  </cols>
  <sheetData>
    <row r="1" spans="1:11" ht="27.5" customHeight="1" x14ac:dyDescent="0.35">
      <c r="A1" s="11" t="s">
        <v>0</v>
      </c>
      <c r="B1" s="10"/>
      <c r="C1" s="10" t="s">
        <v>205</v>
      </c>
      <c r="D1" s="9" t="s">
        <v>1</v>
      </c>
      <c r="E1" s="10"/>
      <c r="F1" s="51" t="s">
        <v>204</v>
      </c>
      <c r="G1" s="52"/>
      <c r="H1" s="52"/>
      <c r="I1" s="52"/>
      <c r="J1" s="52"/>
      <c r="K1" s="53"/>
    </row>
    <row r="2" spans="1:11" ht="15" thickBot="1" x14ac:dyDescent="0.4">
      <c r="A2" s="8" t="s">
        <v>2</v>
      </c>
      <c r="B2" s="7"/>
      <c r="C2" s="7" t="s">
        <v>15</v>
      </c>
      <c r="D2" s="6" t="s">
        <v>3</v>
      </c>
      <c r="E2" s="59"/>
      <c r="F2" s="72"/>
      <c r="G2" s="6" t="s">
        <v>4</v>
      </c>
      <c r="H2" s="59">
        <v>1</v>
      </c>
      <c r="I2" s="60"/>
      <c r="J2" s="60"/>
      <c r="K2" s="61"/>
    </row>
    <row r="4" spans="1:11" x14ac:dyDescent="0.35">
      <c r="A4" s="2" t="s">
        <v>5</v>
      </c>
    </row>
    <row r="5" spans="1:11" ht="15" thickBot="1" x14ac:dyDescent="0.4"/>
    <row r="6" spans="1:11" ht="15" thickBot="1" x14ac:dyDescent="0.4">
      <c r="A6" s="14" t="s">
        <v>6</v>
      </c>
      <c r="B6" s="15"/>
      <c r="C6" s="17" t="s">
        <v>15</v>
      </c>
      <c r="D6" s="13" t="s">
        <v>7</v>
      </c>
      <c r="E6" s="70">
        <v>46049</v>
      </c>
      <c r="F6" s="71"/>
      <c r="G6" s="13" t="s">
        <v>8</v>
      </c>
      <c r="H6" s="62" t="s">
        <v>203</v>
      </c>
      <c r="I6" s="63"/>
      <c r="J6" s="63"/>
      <c r="K6" s="64"/>
    </row>
    <row r="7" spans="1:11" ht="15" thickBot="1" x14ac:dyDescent="0.4"/>
    <row r="8" spans="1:11" x14ac:dyDescent="0.35">
      <c r="A8" s="3" t="s">
        <v>9</v>
      </c>
      <c r="B8" s="48" t="s">
        <v>10</v>
      </c>
      <c r="C8" s="49"/>
      <c r="F8" s="3" t="s">
        <v>9</v>
      </c>
      <c r="G8" s="48" t="s">
        <v>11</v>
      </c>
      <c r="H8" s="56"/>
      <c r="I8" s="56"/>
      <c r="J8" s="56"/>
      <c r="K8" s="49"/>
    </row>
    <row r="9" spans="1:11" ht="25.5" customHeight="1" x14ac:dyDescent="0.35">
      <c r="A9" s="23">
        <v>1</v>
      </c>
      <c r="B9" s="45" t="s">
        <v>32</v>
      </c>
      <c r="C9" s="47"/>
      <c r="F9" s="23">
        <v>1</v>
      </c>
      <c r="G9" s="42" t="s">
        <v>199</v>
      </c>
      <c r="H9" s="43"/>
      <c r="I9" s="43"/>
      <c r="J9" s="43"/>
      <c r="K9" s="44"/>
    </row>
    <row r="10" spans="1:11" ht="27.5" customHeight="1" x14ac:dyDescent="0.35">
      <c r="A10" s="23">
        <v>2</v>
      </c>
      <c r="B10" s="45" t="s">
        <v>33</v>
      </c>
      <c r="C10" s="47"/>
      <c r="F10" s="23">
        <v>2</v>
      </c>
      <c r="G10" s="42" t="s">
        <v>200</v>
      </c>
      <c r="H10" s="43"/>
      <c r="I10" s="43"/>
      <c r="J10" s="43"/>
      <c r="K10" s="44"/>
    </row>
    <row r="11" spans="1:11" ht="28" customHeight="1" x14ac:dyDescent="0.35">
      <c r="A11" s="23">
        <v>3</v>
      </c>
      <c r="B11" s="45" t="s">
        <v>34</v>
      </c>
      <c r="C11" s="47"/>
      <c r="F11" s="23">
        <v>3</v>
      </c>
      <c r="G11" s="42" t="s">
        <v>201</v>
      </c>
      <c r="H11" s="43"/>
      <c r="I11" s="43"/>
      <c r="J11" s="43"/>
      <c r="K11" s="44"/>
    </row>
    <row r="12" spans="1:11" ht="35.5" customHeight="1" thickBot="1" x14ac:dyDescent="0.4">
      <c r="A12" s="24">
        <v>4</v>
      </c>
      <c r="B12" s="57" t="s">
        <v>198</v>
      </c>
      <c r="C12" s="58"/>
      <c r="F12" s="24">
        <v>4</v>
      </c>
      <c r="G12" s="67" t="s">
        <v>202</v>
      </c>
      <c r="H12" s="68"/>
      <c r="I12" s="68"/>
      <c r="J12" s="68"/>
      <c r="K12" s="69"/>
    </row>
    <row r="13" spans="1:11" ht="25.5" customHeight="1" x14ac:dyDescent="0.35"/>
    <row r="14" spans="1:11" x14ac:dyDescent="0.35">
      <c r="A14" s="16" t="s">
        <v>12</v>
      </c>
    </row>
    <row r="16" spans="1:11" ht="46.5" customHeight="1" x14ac:dyDescent="0.35">
      <c r="A16" s="35" t="s">
        <v>36</v>
      </c>
      <c r="B16" s="79" t="s">
        <v>96</v>
      </c>
      <c r="C16" s="80"/>
      <c r="D16" s="28" t="s">
        <v>61</v>
      </c>
      <c r="E16" s="35" t="s">
        <v>94</v>
      </c>
      <c r="F16" s="79" t="s">
        <v>95</v>
      </c>
      <c r="G16" s="80"/>
      <c r="H16" s="81" t="s">
        <v>13</v>
      </c>
      <c r="I16" s="82"/>
      <c r="J16" s="82"/>
      <c r="K16" s="82"/>
    </row>
    <row r="17" spans="1:11" x14ac:dyDescent="0.35">
      <c r="A17" s="37" t="s">
        <v>37</v>
      </c>
      <c r="B17" s="77" t="s">
        <v>128</v>
      </c>
      <c r="C17" s="77"/>
      <c r="D17" s="29" t="s">
        <v>129</v>
      </c>
      <c r="E17" s="29" t="s">
        <v>130</v>
      </c>
      <c r="F17" s="77">
        <v>50</v>
      </c>
      <c r="G17" s="77"/>
      <c r="H17" s="77" t="s">
        <v>63</v>
      </c>
      <c r="I17" s="77"/>
      <c r="J17" s="77"/>
      <c r="K17" s="77"/>
    </row>
    <row r="18" spans="1:11" x14ac:dyDescent="0.35">
      <c r="A18" s="37" t="s">
        <v>38</v>
      </c>
      <c r="B18" s="77" t="s">
        <v>131</v>
      </c>
      <c r="C18" s="77"/>
      <c r="D18" s="29" t="s">
        <v>132</v>
      </c>
      <c r="E18" s="29" t="s">
        <v>130</v>
      </c>
      <c r="F18" s="77">
        <v>50</v>
      </c>
      <c r="G18" s="77"/>
      <c r="H18" s="77" t="s">
        <v>63</v>
      </c>
      <c r="I18" s="77"/>
      <c r="J18" s="77"/>
      <c r="K18" s="77"/>
    </row>
    <row r="19" spans="1:11" x14ac:dyDescent="0.35">
      <c r="A19" s="37" t="s">
        <v>39</v>
      </c>
      <c r="B19" s="77" t="s">
        <v>133</v>
      </c>
      <c r="C19" s="77"/>
      <c r="D19" s="29" t="s">
        <v>134</v>
      </c>
      <c r="E19" s="29" t="s">
        <v>130</v>
      </c>
      <c r="F19" s="77">
        <v>50</v>
      </c>
      <c r="G19" s="77"/>
      <c r="H19" s="77" t="s">
        <v>63</v>
      </c>
      <c r="I19" s="77"/>
      <c r="J19" s="77"/>
      <c r="K19" s="77"/>
    </row>
    <row r="20" spans="1:11" x14ac:dyDescent="0.35">
      <c r="A20" s="37" t="s">
        <v>40</v>
      </c>
      <c r="B20" s="77" t="s">
        <v>135</v>
      </c>
      <c r="C20" s="77"/>
      <c r="D20" s="29" t="s">
        <v>136</v>
      </c>
      <c r="E20" s="29" t="s">
        <v>137</v>
      </c>
      <c r="F20" s="77">
        <v>100</v>
      </c>
      <c r="G20" s="77"/>
      <c r="H20" s="77" t="s">
        <v>63</v>
      </c>
      <c r="I20" s="77"/>
      <c r="J20" s="77"/>
      <c r="K20" s="77"/>
    </row>
    <row r="21" spans="1:11" x14ac:dyDescent="0.35">
      <c r="A21" s="37" t="s">
        <v>41</v>
      </c>
      <c r="B21" s="77" t="s">
        <v>138</v>
      </c>
      <c r="C21" s="77"/>
      <c r="D21" s="29" t="s">
        <v>139</v>
      </c>
      <c r="E21" s="29" t="s">
        <v>137</v>
      </c>
      <c r="F21" s="77">
        <v>100</v>
      </c>
      <c r="G21" s="77"/>
      <c r="H21" s="77" t="s">
        <v>63</v>
      </c>
      <c r="I21" s="77"/>
      <c r="J21" s="77"/>
      <c r="K21" s="77"/>
    </row>
    <row r="22" spans="1:11" x14ac:dyDescent="0.35">
      <c r="A22" s="37" t="s">
        <v>42</v>
      </c>
      <c r="B22" s="77" t="s">
        <v>140</v>
      </c>
      <c r="C22" s="77"/>
      <c r="D22" s="29" t="s">
        <v>141</v>
      </c>
      <c r="E22" s="29" t="s">
        <v>137</v>
      </c>
      <c r="F22" s="77">
        <v>100</v>
      </c>
      <c r="G22" s="77"/>
      <c r="H22" s="77" t="s">
        <v>63</v>
      </c>
      <c r="I22" s="77"/>
      <c r="J22" s="77"/>
      <c r="K22" s="77"/>
    </row>
    <row r="23" spans="1:11" x14ac:dyDescent="0.35">
      <c r="A23" s="37" t="s">
        <v>97</v>
      </c>
      <c r="B23" s="78" t="s">
        <v>142</v>
      </c>
      <c r="C23" s="78"/>
      <c r="D23" s="29" t="s">
        <v>143</v>
      </c>
      <c r="E23" s="29" t="s">
        <v>144</v>
      </c>
      <c r="F23" s="78">
        <v>120</v>
      </c>
      <c r="G23" s="78"/>
      <c r="H23" s="77" t="s">
        <v>63</v>
      </c>
      <c r="I23" s="77"/>
      <c r="J23" s="77"/>
      <c r="K23" s="77"/>
    </row>
    <row r="24" spans="1:11" x14ac:dyDescent="0.35">
      <c r="A24" s="37" t="s">
        <v>98</v>
      </c>
      <c r="B24" s="78" t="s">
        <v>145</v>
      </c>
      <c r="C24" s="78"/>
      <c r="D24" s="29" t="s">
        <v>146</v>
      </c>
      <c r="E24" s="29" t="s">
        <v>144</v>
      </c>
      <c r="F24" s="78">
        <v>120</v>
      </c>
      <c r="G24" s="78"/>
      <c r="H24" s="77" t="s">
        <v>63</v>
      </c>
      <c r="I24" s="77"/>
      <c r="J24" s="77"/>
      <c r="K24" s="77"/>
    </row>
    <row r="25" spans="1:11" x14ac:dyDescent="0.35">
      <c r="A25" s="37" t="s">
        <v>147</v>
      </c>
      <c r="B25" s="78" t="s">
        <v>148</v>
      </c>
      <c r="C25" s="78"/>
      <c r="D25" s="29" t="s">
        <v>149</v>
      </c>
      <c r="E25" s="29" t="s">
        <v>144</v>
      </c>
      <c r="F25" s="78">
        <v>120</v>
      </c>
      <c r="G25" s="78"/>
      <c r="H25" s="77" t="s">
        <v>63</v>
      </c>
      <c r="I25" s="77"/>
      <c r="J25" s="77"/>
      <c r="K25" s="77"/>
    </row>
    <row r="26" spans="1:11" x14ac:dyDescent="0.35">
      <c r="A26" s="37" t="s">
        <v>150</v>
      </c>
      <c r="B26" s="78" t="s">
        <v>151</v>
      </c>
      <c r="C26" s="78"/>
      <c r="D26" s="29" t="s">
        <v>152</v>
      </c>
      <c r="E26" s="29" t="s">
        <v>153</v>
      </c>
      <c r="F26" s="78">
        <v>140</v>
      </c>
      <c r="G26" s="78"/>
      <c r="H26" s="77" t="s">
        <v>63</v>
      </c>
      <c r="I26" s="77"/>
      <c r="J26" s="77"/>
      <c r="K26" s="77"/>
    </row>
    <row r="27" spans="1:11" x14ac:dyDescent="0.35">
      <c r="A27" s="37" t="s">
        <v>154</v>
      </c>
      <c r="B27" s="78" t="s">
        <v>155</v>
      </c>
      <c r="C27" s="78"/>
      <c r="D27" s="29" t="s">
        <v>156</v>
      </c>
      <c r="E27" s="29" t="s">
        <v>153</v>
      </c>
      <c r="F27" s="78">
        <v>140</v>
      </c>
      <c r="G27" s="78"/>
      <c r="H27" s="77" t="s">
        <v>63</v>
      </c>
      <c r="I27" s="77"/>
      <c r="J27" s="77"/>
      <c r="K27" s="77"/>
    </row>
    <row r="28" spans="1:11" x14ac:dyDescent="0.35">
      <c r="A28" s="37" t="s">
        <v>157</v>
      </c>
      <c r="B28" s="78" t="s">
        <v>158</v>
      </c>
      <c r="C28" s="78"/>
      <c r="D28" s="29" t="s">
        <v>159</v>
      </c>
      <c r="E28" s="29" t="s">
        <v>153</v>
      </c>
      <c r="F28" s="78">
        <v>140</v>
      </c>
      <c r="G28" s="78"/>
      <c r="H28" s="77" t="s">
        <v>63</v>
      </c>
      <c r="I28" s="77"/>
      <c r="J28" s="77"/>
      <c r="K28" s="77"/>
    </row>
    <row r="29" spans="1:11" x14ac:dyDescent="0.35">
      <c r="A29" s="37" t="s">
        <v>160</v>
      </c>
      <c r="B29" s="78" t="s">
        <v>161</v>
      </c>
      <c r="C29" s="78"/>
      <c r="D29" s="29" t="s">
        <v>162</v>
      </c>
      <c r="E29" s="29" t="s">
        <v>163</v>
      </c>
      <c r="F29" s="78">
        <v>80</v>
      </c>
      <c r="G29" s="78"/>
      <c r="H29" s="77" t="s">
        <v>63</v>
      </c>
      <c r="I29" s="77"/>
      <c r="J29" s="77"/>
      <c r="K29" s="77"/>
    </row>
    <row r="30" spans="1:11" x14ac:dyDescent="0.35">
      <c r="A30" s="37" t="s">
        <v>164</v>
      </c>
      <c r="B30" s="78" t="s">
        <v>165</v>
      </c>
      <c r="C30" s="78"/>
      <c r="D30" s="29" t="s">
        <v>166</v>
      </c>
      <c r="E30" s="29" t="s">
        <v>163</v>
      </c>
      <c r="F30" s="78">
        <v>80</v>
      </c>
      <c r="G30" s="78"/>
      <c r="H30" s="77" t="s">
        <v>63</v>
      </c>
      <c r="I30" s="77"/>
      <c r="J30" s="77"/>
      <c r="K30" s="77"/>
    </row>
    <row r="31" spans="1:11" x14ac:dyDescent="0.35">
      <c r="A31" s="37" t="s">
        <v>167</v>
      </c>
      <c r="B31" s="78" t="s">
        <v>168</v>
      </c>
      <c r="C31" s="78"/>
      <c r="D31" s="29" t="s">
        <v>169</v>
      </c>
      <c r="E31" s="29" t="s">
        <v>163</v>
      </c>
      <c r="F31" s="78">
        <v>80</v>
      </c>
      <c r="G31" s="78"/>
      <c r="H31" s="77" t="s">
        <v>63</v>
      </c>
      <c r="I31" s="77"/>
      <c r="J31" s="77"/>
      <c r="K31" s="77"/>
    </row>
    <row r="32" spans="1:11" x14ac:dyDescent="0.35">
      <c r="A32" s="37" t="s">
        <v>170</v>
      </c>
      <c r="B32" s="78" t="s">
        <v>171</v>
      </c>
      <c r="C32" s="78"/>
      <c r="D32" s="29" t="s">
        <v>172</v>
      </c>
      <c r="E32" s="29" t="s">
        <v>173</v>
      </c>
      <c r="F32" s="78">
        <v>110</v>
      </c>
      <c r="G32" s="78"/>
      <c r="H32" s="77" t="s">
        <v>63</v>
      </c>
      <c r="I32" s="77"/>
      <c r="J32" s="77"/>
      <c r="K32" s="77"/>
    </row>
    <row r="33" spans="1:11" x14ac:dyDescent="0.35">
      <c r="A33" s="37" t="s">
        <v>174</v>
      </c>
      <c r="B33" s="78" t="s">
        <v>175</v>
      </c>
      <c r="C33" s="78"/>
      <c r="D33" s="29" t="s">
        <v>176</v>
      </c>
      <c r="E33" s="29" t="s">
        <v>173</v>
      </c>
      <c r="F33" s="78">
        <v>110</v>
      </c>
      <c r="G33" s="78"/>
      <c r="H33" s="77" t="s">
        <v>63</v>
      </c>
      <c r="I33" s="77"/>
      <c r="J33" s="77"/>
      <c r="K33" s="77"/>
    </row>
    <row r="34" spans="1:11" x14ac:dyDescent="0.35">
      <c r="A34" s="37" t="s">
        <v>177</v>
      </c>
      <c r="B34" s="78" t="s">
        <v>178</v>
      </c>
      <c r="C34" s="78"/>
      <c r="D34" s="29" t="s">
        <v>179</v>
      </c>
      <c r="E34" s="29" t="s">
        <v>173</v>
      </c>
      <c r="F34" s="78">
        <v>110</v>
      </c>
      <c r="G34" s="78"/>
      <c r="H34" s="77" t="s">
        <v>63</v>
      </c>
      <c r="I34" s="77"/>
      <c r="J34" s="77"/>
      <c r="K34" s="77"/>
    </row>
    <row r="35" spans="1:11" x14ac:dyDescent="0.35">
      <c r="A35" s="37" t="s">
        <v>180</v>
      </c>
      <c r="B35" s="78" t="s">
        <v>181</v>
      </c>
      <c r="C35" s="78"/>
      <c r="D35" s="29" t="s">
        <v>182</v>
      </c>
      <c r="E35" s="29" t="s">
        <v>153</v>
      </c>
      <c r="F35" s="78">
        <v>140</v>
      </c>
      <c r="G35" s="78"/>
      <c r="H35" s="77" t="s">
        <v>63</v>
      </c>
      <c r="I35" s="77"/>
      <c r="J35" s="77"/>
      <c r="K35" s="77"/>
    </row>
    <row r="36" spans="1:11" x14ac:dyDescent="0.35">
      <c r="A36" s="37" t="s">
        <v>183</v>
      </c>
      <c r="B36" s="78" t="s">
        <v>184</v>
      </c>
      <c r="C36" s="78"/>
      <c r="D36" s="29" t="s">
        <v>185</v>
      </c>
      <c r="E36" s="29" t="s">
        <v>153</v>
      </c>
      <c r="F36" s="78">
        <v>140</v>
      </c>
      <c r="G36" s="78"/>
      <c r="H36" s="77" t="s">
        <v>63</v>
      </c>
      <c r="I36" s="77"/>
      <c r="J36" s="77"/>
      <c r="K36" s="77"/>
    </row>
    <row r="37" spans="1:11" x14ac:dyDescent="0.35">
      <c r="A37" s="37" t="s">
        <v>186</v>
      </c>
      <c r="B37" s="78" t="s">
        <v>187</v>
      </c>
      <c r="C37" s="78"/>
      <c r="D37" s="29" t="s">
        <v>188</v>
      </c>
      <c r="E37" s="29" t="s">
        <v>153</v>
      </c>
      <c r="F37" s="78">
        <v>140</v>
      </c>
      <c r="G37" s="78"/>
      <c r="H37" s="77" t="s">
        <v>63</v>
      </c>
      <c r="I37" s="77"/>
      <c r="J37" s="77"/>
      <c r="K37" s="77"/>
    </row>
    <row r="38" spans="1:11" x14ac:dyDescent="0.35">
      <c r="A38" s="37" t="s">
        <v>189</v>
      </c>
      <c r="B38" s="78" t="s">
        <v>190</v>
      </c>
      <c r="C38" s="78"/>
      <c r="D38" s="29" t="s">
        <v>191</v>
      </c>
      <c r="E38" s="29" t="s">
        <v>192</v>
      </c>
      <c r="F38" s="78" t="s">
        <v>65</v>
      </c>
      <c r="G38" s="78"/>
      <c r="H38" s="77" t="s">
        <v>63</v>
      </c>
      <c r="I38" s="77"/>
      <c r="J38" s="77"/>
      <c r="K38" s="77"/>
    </row>
    <row r="39" spans="1:11" x14ac:dyDescent="0.35">
      <c r="A39" s="37" t="s">
        <v>193</v>
      </c>
      <c r="B39" s="78" t="s">
        <v>194</v>
      </c>
      <c r="C39" s="78"/>
      <c r="D39" s="29" t="s">
        <v>195</v>
      </c>
      <c r="E39" s="29" t="s">
        <v>192</v>
      </c>
      <c r="F39" s="78" t="s">
        <v>65</v>
      </c>
      <c r="G39" s="78"/>
      <c r="H39" s="77" t="s">
        <v>63</v>
      </c>
      <c r="I39" s="77"/>
      <c r="J39" s="77"/>
      <c r="K39" s="77"/>
    </row>
  </sheetData>
  <mergeCells count="87">
    <mergeCell ref="B9:C9"/>
    <mergeCell ref="G9:K9"/>
    <mergeCell ref="F1:K1"/>
    <mergeCell ref="H2:K2"/>
    <mergeCell ref="H6:K6"/>
    <mergeCell ref="B8:C8"/>
    <mergeCell ref="G8:K8"/>
    <mergeCell ref="B10:C10"/>
    <mergeCell ref="G10:K10"/>
    <mergeCell ref="B11:C11"/>
    <mergeCell ref="G11:K11"/>
    <mergeCell ref="B12:C12"/>
    <mergeCell ref="G12:K12"/>
    <mergeCell ref="B16:C16"/>
    <mergeCell ref="F16:G16"/>
    <mergeCell ref="H16:K16"/>
    <mergeCell ref="B17:C17"/>
    <mergeCell ref="F17:G17"/>
    <mergeCell ref="H17:K17"/>
    <mergeCell ref="B18:C18"/>
    <mergeCell ref="F18:G18"/>
    <mergeCell ref="H18:K18"/>
    <mergeCell ref="B19:C19"/>
    <mergeCell ref="F19:G19"/>
    <mergeCell ref="H19:K19"/>
    <mergeCell ref="B20:C20"/>
    <mergeCell ref="F20:G20"/>
    <mergeCell ref="H20:K20"/>
    <mergeCell ref="B21:C21"/>
    <mergeCell ref="F21:G21"/>
    <mergeCell ref="H21:K21"/>
    <mergeCell ref="B31:C31"/>
    <mergeCell ref="B22:C22"/>
    <mergeCell ref="F22:G22"/>
    <mergeCell ref="H22:K22"/>
    <mergeCell ref="B23:C23"/>
    <mergeCell ref="B24:C24"/>
    <mergeCell ref="B25:C25"/>
    <mergeCell ref="B26:C26"/>
    <mergeCell ref="B27:C27"/>
    <mergeCell ref="B28:C28"/>
    <mergeCell ref="B29:C29"/>
    <mergeCell ref="B30:C30"/>
    <mergeCell ref="B38:C38"/>
    <mergeCell ref="B39:C39"/>
    <mergeCell ref="F23:G23"/>
    <mergeCell ref="F24:G24"/>
    <mergeCell ref="F25:G25"/>
    <mergeCell ref="F26:G26"/>
    <mergeCell ref="F27:G27"/>
    <mergeCell ref="F28:G28"/>
    <mergeCell ref="F29:G29"/>
    <mergeCell ref="F30:G30"/>
    <mergeCell ref="B32:C32"/>
    <mergeCell ref="B33:C33"/>
    <mergeCell ref="B34:C34"/>
    <mergeCell ref="B35:C35"/>
    <mergeCell ref="B36:C36"/>
    <mergeCell ref="B37:C37"/>
    <mergeCell ref="E2:F2"/>
    <mergeCell ref="H30:K30"/>
    <mergeCell ref="H31:K31"/>
    <mergeCell ref="H32:K32"/>
    <mergeCell ref="H34:K34"/>
    <mergeCell ref="H33:K33"/>
    <mergeCell ref="H23:K23"/>
    <mergeCell ref="H24:K24"/>
    <mergeCell ref="H25:K25"/>
    <mergeCell ref="H26:K26"/>
    <mergeCell ref="H27:K27"/>
    <mergeCell ref="H28:K28"/>
    <mergeCell ref="H29:K29"/>
    <mergeCell ref="F31:G31"/>
    <mergeCell ref="F32:G32"/>
    <mergeCell ref="F33:G33"/>
    <mergeCell ref="H36:K36"/>
    <mergeCell ref="H37:K37"/>
    <mergeCell ref="H38:K38"/>
    <mergeCell ref="H39:K39"/>
    <mergeCell ref="E6:F6"/>
    <mergeCell ref="H35:K35"/>
    <mergeCell ref="F37:G37"/>
    <mergeCell ref="F38:G38"/>
    <mergeCell ref="F39:G39"/>
    <mergeCell ref="F34:G34"/>
    <mergeCell ref="F35:G35"/>
    <mergeCell ref="F36:G36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D78D6-E508-478E-9E9F-4AE220F1106E}">
  <dimension ref="A1:X19"/>
  <sheetViews>
    <sheetView topLeftCell="A5" workbookViewId="0">
      <selection activeCell="O13" sqref="O13"/>
    </sheetView>
  </sheetViews>
  <sheetFormatPr defaultRowHeight="14.5" x14ac:dyDescent="0.35"/>
  <cols>
    <col min="1" max="1" width="8.7265625" style="25"/>
    <col min="2" max="2" width="19.26953125" style="25" customWidth="1"/>
    <col min="3" max="3" width="17" style="25" customWidth="1"/>
    <col min="4" max="10" width="8.7265625" style="25"/>
    <col min="11" max="11" width="12.90625" style="25" customWidth="1"/>
    <col min="12" max="15" width="8.7265625" style="25"/>
    <col min="16" max="16" width="17.26953125" style="25" customWidth="1"/>
    <col min="17" max="16384" width="8.7265625" style="25"/>
  </cols>
  <sheetData>
    <row r="1" spans="1:24" ht="20.5" thickBot="1" x14ac:dyDescent="0.4">
      <c r="D1" s="95" t="s">
        <v>43</v>
      </c>
      <c r="E1" s="84"/>
      <c r="F1" s="84"/>
    </row>
    <row r="2" spans="1:24" ht="15" thickBot="1" x14ac:dyDescent="0.4">
      <c r="A2" s="88" t="s">
        <v>44</v>
      </c>
      <c r="B2" s="89"/>
      <c r="C2" s="98" t="s">
        <v>390</v>
      </c>
      <c r="D2" s="99"/>
      <c r="E2" s="100"/>
      <c r="F2" s="102" t="s">
        <v>45</v>
      </c>
      <c r="G2" s="99"/>
      <c r="H2" s="92" t="s">
        <v>15</v>
      </c>
      <c r="I2" s="93"/>
      <c r="J2" s="93"/>
      <c r="K2" s="94"/>
    </row>
    <row r="3" spans="1:24" ht="15" thickBot="1" x14ac:dyDescent="0.4">
      <c r="A3" s="90" t="s">
        <v>46</v>
      </c>
      <c r="B3" s="91"/>
      <c r="C3" s="85">
        <v>1</v>
      </c>
      <c r="D3" s="86"/>
      <c r="E3" s="87"/>
      <c r="F3" s="101" t="s">
        <v>47</v>
      </c>
      <c r="G3" s="86"/>
      <c r="H3" s="92"/>
      <c r="I3" s="93"/>
      <c r="J3" s="93"/>
      <c r="K3" s="94"/>
    </row>
    <row r="4" spans="1:24" ht="41.5" customHeight="1" thickBot="1" x14ac:dyDescent="0.4">
      <c r="A4" s="27" t="s">
        <v>48</v>
      </c>
      <c r="B4" s="121" t="s">
        <v>389</v>
      </c>
      <c r="C4" s="122"/>
      <c r="D4" s="122"/>
      <c r="E4" s="122"/>
      <c r="F4" s="122"/>
      <c r="G4" s="122"/>
      <c r="H4" s="122"/>
      <c r="I4" s="122"/>
      <c r="J4" s="122"/>
      <c r="K4" s="123"/>
    </row>
    <row r="6" spans="1:24" x14ac:dyDescent="0.35">
      <c r="B6" s="96" t="s">
        <v>49</v>
      </c>
      <c r="C6" s="84"/>
      <c r="D6" s="22">
        <v>1</v>
      </c>
      <c r="E6" s="22"/>
      <c r="H6" s="83" t="s">
        <v>365</v>
      </c>
      <c r="I6" s="84"/>
      <c r="J6" s="84"/>
      <c r="K6" s="84"/>
    </row>
    <row r="7" spans="1:24" x14ac:dyDescent="0.35">
      <c r="B7" s="96" t="s">
        <v>50</v>
      </c>
      <c r="C7" s="84"/>
      <c r="D7" s="22">
        <v>1</v>
      </c>
      <c r="E7" s="22"/>
    </row>
    <row r="8" spans="1:24" ht="15" thickBot="1" x14ac:dyDescent="0.4"/>
    <row r="9" spans="1:24" ht="39" customHeight="1" x14ac:dyDescent="0.35">
      <c r="A9" s="139" t="s">
        <v>51</v>
      </c>
      <c r="B9" s="148" t="s">
        <v>52</v>
      </c>
      <c r="C9" s="149"/>
      <c r="D9" s="150" t="s">
        <v>53</v>
      </c>
      <c r="E9" s="150" t="s">
        <v>54</v>
      </c>
      <c r="F9" s="150" t="s">
        <v>55</v>
      </c>
      <c r="G9" s="150" t="s">
        <v>56</v>
      </c>
      <c r="H9" s="150" t="s">
        <v>57</v>
      </c>
      <c r="I9" s="150" t="s">
        <v>58</v>
      </c>
      <c r="J9" s="150" t="s">
        <v>59</v>
      </c>
      <c r="K9" s="151" t="s">
        <v>49</v>
      </c>
      <c r="X9" s="124"/>
    </row>
    <row r="10" spans="1:24" x14ac:dyDescent="0.35">
      <c r="A10" s="140">
        <v>1</v>
      </c>
      <c r="B10" s="141" t="s">
        <v>381</v>
      </c>
      <c r="C10" s="80"/>
      <c r="D10" s="36">
        <v>3</v>
      </c>
      <c r="E10" s="36">
        <v>3</v>
      </c>
      <c r="F10" s="36">
        <v>0</v>
      </c>
      <c r="G10" s="36">
        <v>0</v>
      </c>
      <c r="H10" s="36">
        <v>0</v>
      </c>
      <c r="I10" s="36">
        <v>0</v>
      </c>
      <c r="J10" s="36">
        <v>3</v>
      </c>
      <c r="K10" s="133">
        <v>1</v>
      </c>
      <c r="W10" s="124"/>
      <c r="X10" s="124"/>
    </row>
    <row r="11" spans="1:24" x14ac:dyDescent="0.35">
      <c r="A11" s="140">
        <v>2</v>
      </c>
      <c r="B11" s="141" t="s">
        <v>382</v>
      </c>
      <c r="C11" s="80"/>
      <c r="D11" s="36">
        <v>3</v>
      </c>
      <c r="E11" s="36">
        <v>3</v>
      </c>
      <c r="F11" s="36">
        <v>0</v>
      </c>
      <c r="G11" s="36">
        <v>0</v>
      </c>
      <c r="H11" s="36">
        <v>0</v>
      </c>
      <c r="I11" s="36">
        <v>0</v>
      </c>
      <c r="J11" s="36">
        <v>3</v>
      </c>
      <c r="K11" s="133">
        <v>1</v>
      </c>
      <c r="W11" s="124"/>
      <c r="X11" s="124"/>
    </row>
    <row r="12" spans="1:24" x14ac:dyDescent="0.35">
      <c r="A12" s="140">
        <v>3</v>
      </c>
      <c r="B12" s="141" t="s">
        <v>383</v>
      </c>
      <c r="C12" s="80"/>
      <c r="D12" s="36">
        <v>3</v>
      </c>
      <c r="E12" s="36">
        <v>3</v>
      </c>
      <c r="F12" s="36">
        <v>0</v>
      </c>
      <c r="G12" s="36">
        <v>0</v>
      </c>
      <c r="H12" s="36">
        <v>0</v>
      </c>
      <c r="I12" s="36">
        <v>0</v>
      </c>
      <c r="J12" s="36">
        <v>3</v>
      </c>
      <c r="K12" s="133">
        <v>1</v>
      </c>
      <c r="W12" s="124"/>
      <c r="X12" s="124"/>
    </row>
    <row r="13" spans="1:24" x14ac:dyDescent="0.35">
      <c r="A13" s="140">
        <v>4</v>
      </c>
      <c r="B13" s="141" t="s">
        <v>384</v>
      </c>
      <c r="C13" s="141"/>
      <c r="D13" s="36">
        <v>3</v>
      </c>
      <c r="E13" s="36">
        <v>3</v>
      </c>
      <c r="F13" s="36">
        <v>0</v>
      </c>
      <c r="G13" s="36">
        <v>0</v>
      </c>
      <c r="H13" s="36">
        <v>0</v>
      </c>
      <c r="I13" s="36">
        <v>0</v>
      </c>
      <c r="J13" s="36">
        <v>3</v>
      </c>
      <c r="K13" s="133">
        <v>1</v>
      </c>
      <c r="W13" s="124"/>
      <c r="X13" s="124"/>
    </row>
    <row r="14" spans="1:24" x14ac:dyDescent="0.35">
      <c r="A14" s="140">
        <v>5</v>
      </c>
      <c r="B14" s="141" t="s">
        <v>385</v>
      </c>
      <c r="C14" s="141"/>
      <c r="D14" s="36">
        <v>3</v>
      </c>
      <c r="E14" s="36">
        <v>3</v>
      </c>
      <c r="F14" s="36">
        <v>0</v>
      </c>
      <c r="G14" s="36">
        <v>0</v>
      </c>
      <c r="H14" s="36">
        <v>0</v>
      </c>
      <c r="I14" s="36">
        <v>0</v>
      </c>
      <c r="J14" s="36">
        <v>3</v>
      </c>
      <c r="K14" s="133">
        <v>1</v>
      </c>
      <c r="W14" s="124"/>
      <c r="X14" s="124"/>
    </row>
    <row r="15" spans="1:24" x14ac:dyDescent="0.35">
      <c r="A15" s="140">
        <v>6</v>
      </c>
      <c r="B15" s="141" t="s">
        <v>386</v>
      </c>
      <c r="C15" s="141"/>
      <c r="D15" s="36">
        <v>3</v>
      </c>
      <c r="E15" s="36">
        <v>3</v>
      </c>
      <c r="F15" s="36">
        <v>0</v>
      </c>
      <c r="G15" s="36">
        <v>0</v>
      </c>
      <c r="H15" s="36">
        <v>0</v>
      </c>
      <c r="I15" s="36">
        <v>0</v>
      </c>
      <c r="J15" s="36">
        <v>3</v>
      </c>
      <c r="K15" s="133">
        <v>1</v>
      </c>
      <c r="W15" s="124"/>
      <c r="X15" s="124"/>
    </row>
    <row r="16" spans="1:24" x14ac:dyDescent="0.35">
      <c r="A16" s="140">
        <v>7</v>
      </c>
      <c r="B16" s="141" t="s">
        <v>387</v>
      </c>
      <c r="C16" s="141"/>
      <c r="D16" s="36">
        <v>3</v>
      </c>
      <c r="E16" s="36">
        <v>3</v>
      </c>
      <c r="F16" s="36">
        <v>0</v>
      </c>
      <c r="G16" s="36">
        <v>0</v>
      </c>
      <c r="H16" s="36">
        <v>0</v>
      </c>
      <c r="I16" s="36">
        <v>0</v>
      </c>
      <c r="J16" s="36">
        <v>3</v>
      </c>
      <c r="K16" s="133">
        <v>1</v>
      </c>
      <c r="W16" s="124"/>
    </row>
    <row r="17" spans="1:23" ht="15" thickBot="1" x14ac:dyDescent="0.4">
      <c r="A17" s="140">
        <v>8</v>
      </c>
      <c r="B17" s="141" t="s">
        <v>388</v>
      </c>
      <c r="C17" s="80"/>
      <c r="D17" s="36">
        <v>2</v>
      </c>
      <c r="E17" s="36">
        <v>2</v>
      </c>
      <c r="F17" s="36">
        <v>0</v>
      </c>
      <c r="G17" s="36">
        <v>0</v>
      </c>
      <c r="H17" s="36">
        <v>0</v>
      </c>
      <c r="I17" s="36">
        <v>0</v>
      </c>
      <c r="J17" s="36">
        <v>2</v>
      </c>
      <c r="K17" s="133">
        <v>1</v>
      </c>
      <c r="W17" s="124"/>
    </row>
    <row r="18" spans="1:23" ht="15" thickBot="1" x14ac:dyDescent="0.4">
      <c r="A18" s="134"/>
      <c r="B18" s="136"/>
      <c r="C18" s="136"/>
      <c r="D18" s="136"/>
      <c r="E18" s="136"/>
      <c r="F18" s="136"/>
      <c r="G18" s="136"/>
      <c r="H18" s="136"/>
      <c r="I18" s="136"/>
      <c r="J18" s="136"/>
      <c r="K18" s="137"/>
      <c r="W18" s="124"/>
    </row>
    <row r="19" spans="1:23" x14ac:dyDescent="0.35">
      <c r="A19" s="103" t="s">
        <v>60</v>
      </c>
      <c r="B19" s="126" t="s">
        <v>59</v>
      </c>
      <c r="C19" s="127"/>
      <c r="D19" s="128">
        <f>SUM(D10:D17)</f>
        <v>23</v>
      </c>
      <c r="E19" s="128">
        <f t="shared" ref="E19:K19" si="0">SUM(E10:E17)</f>
        <v>23</v>
      </c>
      <c r="F19" s="128">
        <f t="shared" si="0"/>
        <v>0</v>
      </c>
      <c r="G19" s="128">
        <f t="shared" si="0"/>
        <v>0</v>
      </c>
      <c r="H19" s="128">
        <f t="shared" si="0"/>
        <v>0</v>
      </c>
      <c r="I19" s="128">
        <f t="shared" si="0"/>
        <v>0</v>
      </c>
      <c r="J19" s="128">
        <f t="shared" si="0"/>
        <v>23</v>
      </c>
      <c r="K19" s="138">
        <v>1</v>
      </c>
    </row>
  </sheetData>
  <mergeCells count="24">
    <mergeCell ref="B11:C11"/>
    <mergeCell ref="B12:C12"/>
    <mergeCell ref="B17:C17"/>
    <mergeCell ref="B14:C14"/>
    <mergeCell ref="B16:C16"/>
    <mergeCell ref="A18:K18"/>
    <mergeCell ref="B19:C19"/>
    <mergeCell ref="B13:C13"/>
    <mergeCell ref="B15:C15"/>
    <mergeCell ref="B4:K4"/>
    <mergeCell ref="B6:C6"/>
    <mergeCell ref="H6:K6"/>
    <mergeCell ref="B7:C7"/>
    <mergeCell ref="B9:C9"/>
    <mergeCell ref="B10:C10"/>
    <mergeCell ref="D1:F1"/>
    <mergeCell ref="A2:B2"/>
    <mergeCell ref="C2:E2"/>
    <mergeCell ref="F2:G2"/>
    <mergeCell ref="H2:K2"/>
    <mergeCell ref="A3:B3"/>
    <mergeCell ref="C3:E3"/>
    <mergeCell ref="F3:G3"/>
    <mergeCell ref="H3: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1B34-5E43-40FD-8B70-0E78CCE6FEA4}">
  <dimension ref="A1:K73"/>
  <sheetViews>
    <sheetView topLeftCell="A16" zoomScale="70" zoomScaleNormal="70" workbookViewId="0">
      <selection activeCell="M16" sqref="M16"/>
    </sheetView>
  </sheetViews>
  <sheetFormatPr defaultRowHeight="14.5" x14ac:dyDescent="0.35"/>
  <cols>
    <col min="1" max="1" width="8.7265625" style="21"/>
    <col min="2" max="2" width="24.7265625" style="21" customWidth="1"/>
    <col min="3" max="3" width="33.7265625" style="21" customWidth="1"/>
    <col min="4" max="4" width="32.6328125" style="21" customWidth="1"/>
    <col min="5" max="5" width="26.6328125" style="21" customWidth="1"/>
    <col min="6" max="6" width="14.26953125" style="21" customWidth="1"/>
    <col min="7" max="15" width="8.7265625" style="21"/>
    <col min="16" max="16" width="18.453125" style="21" customWidth="1"/>
    <col min="17" max="17" width="21.453125" style="21" customWidth="1"/>
    <col min="18" max="18" width="30.1796875" style="21" customWidth="1"/>
    <col min="19" max="19" width="26.08984375" style="21" customWidth="1"/>
    <col min="20" max="20" width="26" style="21" customWidth="1"/>
    <col min="21" max="16384" width="8.7265625" style="21"/>
  </cols>
  <sheetData>
    <row r="1" spans="1:11" ht="27.5" customHeight="1" x14ac:dyDescent="0.35">
      <c r="A1" s="11" t="s">
        <v>0</v>
      </c>
      <c r="B1" s="10"/>
      <c r="C1" s="10" t="s">
        <v>353</v>
      </c>
      <c r="D1" s="9" t="s">
        <v>1</v>
      </c>
      <c r="E1" s="10"/>
      <c r="F1" s="51" t="s">
        <v>360</v>
      </c>
      <c r="G1" s="52"/>
      <c r="H1" s="52"/>
      <c r="I1" s="52"/>
      <c r="J1" s="52"/>
      <c r="K1" s="53"/>
    </row>
    <row r="2" spans="1:11" ht="15" thickBot="1" x14ac:dyDescent="0.4">
      <c r="A2" s="8" t="s">
        <v>2</v>
      </c>
      <c r="B2" s="7"/>
      <c r="C2" s="7" t="s">
        <v>15</v>
      </c>
      <c r="D2" s="6" t="s">
        <v>3</v>
      </c>
      <c r="E2" s="7"/>
      <c r="F2" s="7"/>
      <c r="G2" s="6" t="s">
        <v>4</v>
      </c>
      <c r="H2" s="59">
        <v>1</v>
      </c>
      <c r="I2" s="60"/>
      <c r="J2" s="60"/>
      <c r="K2" s="61"/>
    </row>
    <row r="4" spans="1:11" x14ac:dyDescent="0.35">
      <c r="A4" s="2" t="s">
        <v>5</v>
      </c>
    </row>
    <row r="5" spans="1:11" ht="15" thickBot="1" x14ac:dyDescent="0.4"/>
    <row r="6" spans="1:11" ht="15" thickBot="1" x14ac:dyDescent="0.4">
      <c r="A6" s="14" t="s">
        <v>6</v>
      </c>
      <c r="B6" s="15"/>
      <c r="C6" s="17" t="s">
        <v>15</v>
      </c>
      <c r="D6" s="13" t="s">
        <v>7</v>
      </c>
      <c r="E6" s="12"/>
      <c r="F6" s="18">
        <v>46049</v>
      </c>
      <c r="G6" s="13" t="s">
        <v>8</v>
      </c>
      <c r="H6" s="62" t="s">
        <v>359</v>
      </c>
      <c r="I6" s="63"/>
      <c r="J6" s="63"/>
      <c r="K6" s="64"/>
    </row>
    <row r="7" spans="1:11" ht="15" thickBot="1" x14ac:dyDescent="0.4"/>
    <row r="8" spans="1:11" x14ac:dyDescent="0.35">
      <c r="A8" s="3" t="s">
        <v>9</v>
      </c>
      <c r="B8" s="48" t="s">
        <v>10</v>
      </c>
      <c r="C8" s="49"/>
      <c r="F8" s="107" t="s">
        <v>9</v>
      </c>
      <c r="G8" s="108" t="s">
        <v>11</v>
      </c>
      <c r="H8" s="109"/>
      <c r="I8" s="109"/>
      <c r="J8" s="109"/>
      <c r="K8" s="110"/>
    </row>
    <row r="9" spans="1:11" ht="25.5" customHeight="1" x14ac:dyDescent="0.35">
      <c r="A9" s="23">
        <v>1</v>
      </c>
      <c r="B9" s="45" t="s">
        <v>32</v>
      </c>
      <c r="C9" s="47"/>
      <c r="F9" s="111">
        <v>1</v>
      </c>
      <c r="G9" s="42" t="s">
        <v>354</v>
      </c>
      <c r="H9" s="43"/>
      <c r="I9" s="43"/>
      <c r="J9" s="43"/>
      <c r="K9" s="112"/>
    </row>
    <row r="10" spans="1:11" ht="27.5" customHeight="1" x14ac:dyDescent="0.35">
      <c r="A10" s="23">
        <v>2</v>
      </c>
      <c r="B10" s="45" t="s">
        <v>33</v>
      </c>
      <c r="C10" s="47"/>
      <c r="F10" s="111">
        <v>2</v>
      </c>
      <c r="G10" s="42" t="s">
        <v>355</v>
      </c>
      <c r="H10" s="43"/>
      <c r="I10" s="43"/>
      <c r="J10" s="43"/>
      <c r="K10" s="112"/>
    </row>
    <row r="11" spans="1:11" ht="28" customHeight="1" x14ac:dyDescent="0.35">
      <c r="A11" s="23">
        <v>3</v>
      </c>
      <c r="B11" s="45" t="s">
        <v>358</v>
      </c>
      <c r="C11" s="47"/>
      <c r="F11" s="111">
        <v>3</v>
      </c>
      <c r="G11" s="42" t="s">
        <v>356</v>
      </c>
      <c r="H11" s="43"/>
      <c r="I11" s="43"/>
      <c r="J11" s="43"/>
      <c r="K11" s="112"/>
    </row>
    <row r="12" spans="1:11" ht="35.5" customHeight="1" thickBot="1" x14ac:dyDescent="0.4">
      <c r="A12" s="24">
        <v>4</v>
      </c>
      <c r="B12" s="57" t="s">
        <v>357</v>
      </c>
      <c r="C12" s="58"/>
      <c r="F12" s="113">
        <v>4</v>
      </c>
      <c r="G12" s="105" t="s">
        <v>29</v>
      </c>
      <c r="H12" s="106"/>
      <c r="I12" s="106"/>
      <c r="J12" s="106"/>
      <c r="K12" s="114"/>
    </row>
    <row r="13" spans="1:11" s="25" customFormat="1" ht="35.5" customHeight="1" x14ac:dyDescent="0.35">
      <c r="A13" s="103"/>
      <c r="B13" s="104"/>
      <c r="C13" s="104"/>
      <c r="F13" s="115">
        <v>5</v>
      </c>
      <c r="G13" s="117" t="s">
        <v>361</v>
      </c>
      <c r="H13" s="117"/>
      <c r="I13" s="117"/>
      <c r="J13" s="117"/>
      <c r="K13" s="118"/>
    </row>
    <row r="14" spans="1:11" s="25" customFormat="1" ht="35.5" customHeight="1" x14ac:dyDescent="0.35">
      <c r="A14" s="103"/>
      <c r="B14" s="104"/>
      <c r="C14" s="104"/>
      <c r="F14" s="115">
        <v>6</v>
      </c>
      <c r="G14" s="117" t="s">
        <v>362</v>
      </c>
      <c r="H14" s="117"/>
      <c r="I14" s="117"/>
      <c r="J14" s="117"/>
      <c r="K14" s="118"/>
    </row>
    <row r="15" spans="1:11" s="25" customFormat="1" ht="35.5" customHeight="1" thickBot="1" x14ac:dyDescent="0.4">
      <c r="A15" s="103"/>
      <c r="B15" s="104"/>
      <c r="C15" s="104"/>
      <c r="F15" s="116">
        <v>7</v>
      </c>
      <c r="G15" s="119" t="s">
        <v>363</v>
      </c>
      <c r="H15" s="119"/>
      <c r="I15" s="119"/>
      <c r="J15" s="119"/>
      <c r="K15" s="120"/>
    </row>
    <row r="16" spans="1:11" ht="25.5" customHeight="1" x14ac:dyDescent="0.35"/>
    <row r="17" spans="1:6" x14ac:dyDescent="0.35">
      <c r="A17" s="16" t="s">
        <v>12</v>
      </c>
    </row>
    <row r="19" spans="1:6" ht="46.5" customHeight="1" x14ac:dyDescent="0.35">
      <c r="A19" s="38" t="s">
        <v>36</v>
      </c>
      <c r="B19" s="38" t="s">
        <v>96</v>
      </c>
      <c r="C19" s="38" t="s">
        <v>61</v>
      </c>
      <c r="D19" s="38" t="s">
        <v>94</v>
      </c>
      <c r="E19" s="38" t="s">
        <v>95</v>
      </c>
      <c r="F19" s="38" t="s">
        <v>351</v>
      </c>
    </row>
    <row r="20" spans="1:6" x14ac:dyDescent="0.35">
      <c r="A20" s="29" t="s">
        <v>37</v>
      </c>
      <c r="B20" s="29" t="s">
        <v>207</v>
      </c>
      <c r="C20" s="29" t="s">
        <v>208</v>
      </c>
      <c r="D20" s="29" t="s">
        <v>209</v>
      </c>
      <c r="E20" s="29" t="s">
        <v>352</v>
      </c>
      <c r="F20" s="29" t="s">
        <v>63</v>
      </c>
    </row>
    <row r="21" spans="1:6" x14ac:dyDescent="0.35">
      <c r="A21" s="29" t="s">
        <v>38</v>
      </c>
      <c r="B21" s="29" t="s">
        <v>210</v>
      </c>
      <c r="C21" s="29" t="s">
        <v>211</v>
      </c>
      <c r="D21" s="29" t="s">
        <v>209</v>
      </c>
      <c r="E21" s="29" t="s">
        <v>352</v>
      </c>
      <c r="F21" s="29" t="s">
        <v>63</v>
      </c>
    </row>
    <row r="22" spans="1:6" x14ac:dyDescent="0.35">
      <c r="A22" s="29" t="s">
        <v>39</v>
      </c>
      <c r="B22" s="29" t="s">
        <v>212</v>
      </c>
      <c r="C22" s="29" t="s">
        <v>213</v>
      </c>
      <c r="D22" s="29" t="s">
        <v>214</v>
      </c>
      <c r="E22" s="29" t="s">
        <v>352</v>
      </c>
      <c r="F22" s="29" t="s">
        <v>63</v>
      </c>
    </row>
    <row r="23" spans="1:6" x14ac:dyDescent="0.35">
      <c r="A23" s="29" t="s">
        <v>40</v>
      </c>
      <c r="B23" s="29" t="s">
        <v>215</v>
      </c>
      <c r="C23" s="29" t="s">
        <v>216</v>
      </c>
      <c r="D23" s="29" t="s">
        <v>214</v>
      </c>
      <c r="E23" s="29" t="s">
        <v>352</v>
      </c>
      <c r="F23" s="29" t="s">
        <v>63</v>
      </c>
    </row>
    <row r="24" spans="1:6" x14ac:dyDescent="0.35">
      <c r="A24" s="29" t="s">
        <v>41</v>
      </c>
      <c r="B24" s="29" t="s">
        <v>217</v>
      </c>
      <c r="C24" s="29" t="s">
        <v>218</v>
      </c>
      <c r="D24" s="29" t="s">
        <v>214</v>
      </c>
      <c r="E24" s="29" t="s">
        <v>352</v>
      </c>
      <c r="F24" s="29" t="s">
        <v>63</v>
      </c>
    </row>
    <row r="25" spans="1:6" x14ac:dyDescent="0.35">
      <c r="A25" s="29" t="s">
        <v>42</v>
      </c>
      <c r="B25" s="29" t="s">
        <v>219</v>
      </c>
      <c r="C25" s="29" t="s">
        <v>220</v>
      </c>
      <c r="D25" s="29" t="s">
        <v>221</v>
      </c>
      <c r="E25" s="29" t="s">
        <v>352</v>
      </c>
      <c r="F25" s="29" t="s">
        <v>63</v>
      </c>
    </row>
    <row r="26" spans="1:6" x14ac:dyDescent="0.35">
      <c r="A26" s="29" t="s">
        <v>97</v>
      </c>
      <c r="B26" s="29" t="s">
        <v>222</v>
      </c>
      <c r="C26" s="29" t="s">
        <v>223</v>
      </c>
      <c r="D26" s="29" t="s">
        <v>221</v>
      </c>
      <c r="E26" s="29" t="s">
        <v>352</v>
      </c>
      <c r="F26" s="29" t="s">
        <v>63</v>
      </c>
    </row>
    <row r="27" spans="1:6" x14ac:dyDescent="0.35">
      <c r="A27" s="29" t="s">
        <v>98</v>
      </c>
      <c r="B27" s="29" t="s">
        <v>224</v>
      </c>
      <c r="C27" s="29" t="s">
        <v>225</v>
      </c>
      <c r="D27" s="29" t="s">
        <v>221</v>
      </c>
      <c r="E27" s="29" t="s">
        <v>352</v>
      </c>
      <c r="F27" s="29" t="s">
        <v>63</v>
      </c>
    </row>
    <row r="28" spans="1:6" x14ac:dyDescent="0.35">
      <c r="A28" s="29" t="s">
        <v>147</v>
      </c>
      <c r="B28" s="29" t="s">
        <v>226</v>
      </c>
      <c r="C28" s="29" t="s">
        <v>208</v>
      </c>
      <c r="D28" s="29" t="s">
        <v>227</v>
      </c>
      <c r="E28" s="29" t="s">
        <v>352</v>
      </c>
      <c r="F28" s="29" t="s">
        <v>63</v>
      </c>
    </row>
    <row r="29" spans="1:6" x14ac:dyDescent="0.35">
      <c r="A29" s="29" t="s">
        <v>150</v>
      </c>
      <c r="B29" s="29" t="s">
        <v>228</v>
      </c>
      <c r="C29" s="29" t="s">
        <v>211</v>
      </c>
      <c r="D29" s="29" t="s">
        <v>227</v>
      </c>
      <c r="E29" s="29" t="s">
        <v>352</v>
      </c>
      <c r="F29" s="29" t="s">
        <v>63</v>
      </c>
    </row>
    <row r="30" spans="1:6" x14ac:dyDescent="0.35">
      <c r="A30" s="29" t="s">
        <v>154</v>
      </c>
      <c r="B30" s="29" t="s">
        <v>229</v>
      </c>
      <c r="C30" s="29" t="s">
        <v>230</v>
      </c>
      <c r="D30" s="29" t="s">
        <v>231</v>
      </c>
      <c r="E30" s="29" t="s">
        <v>352</v>
      </c>
      <c r="F30" s="29" t="s">
        <v>63</v>
      </c>
    </row>
    <row r="31" spans="1:6" x14ac:dyDescent="0.35">
      <c r="A31" s="29" t="s">
        <v>157</v>
      </c>
      <c r="B31" s="29" t="s">
        <v>232</v>
      </c>
      <c r="C31" s="29" t="s">
        <v>233</v>
      </c>
      <c r="D31" s="29" t="s">
        <v>231</v>
      </c>
      <c r="E31" s="29" t="s">
        <v>352</v>
      </c>
      <c r="F31" s="29" t="s">
        <v>63</v>
      </c>
    </row>
    <row r="32" spans="1:6" x14ac:dyDescent="0.35">
      <c r="A32" s="29" t="s">
        <v>160</v>
      </c>
      <c r="B32" s="29" t="s">
        <v>234</v>
      </c>
      <c r="C32" s="29" t="s">
        <v>235</v>
      </c>
      <c r="D32" s="29" t="s">
        <v>236</v>
      </c>
      <c r="E32" s="29" t="s">
        <v>352</v>
      </c>
      <c r="F32" s="29" t="s">
        <v>63</v>
      </c>
    </row>
    <row r="33" spans="1:6" x14ac:dyDescent="0.35">
      <c r="A33" s="29" t="s">
        <v>164</v>
      </c>
      <c r="B33" s="29" t="s">
        <v>237</v>
      </c>
      <c r="C33" s="29" t="s">
        <v>238</v>
      </c>
      <c r="D33" s="29" t="s">
        <v>221</v>
      </c>
      <c r="E33" s="29" t="s">
        <v>352</v>
      </c>
      <c r="F33" s="29" t="s">
        <v>63</v>
      </c>
    </row>
    <row r="34" spans="1:6" x14ac:dyDescent="0.35">
      <c r="A34" s="29" t="s">
        <v>167</v>
      </c>
      <c r="B34" s="29" t="s">
        <v>239</v>
      </c>
      <c r="C34" s="29" t="s">
        <v>240</v>
      </c>
      <c r="D34" s="29" t="s">
        <v>221</v>
      </c>
      <c r="E34" s="29" t="s">
        <v>352</v>
      </c>
      <c r="F34" s="29" t="s">
        <v>63</v>
      </c>
    </row>
    <row r="35" spans="1:6" x14ac:dyDescent="0.35">
      <c r="A35" s="29" t="s">
        <v>170</v>
      </c>
      <c r="B35" s="29" t="s">
        <v>241</v>
      </c>
      <c r="C35" s="29" t="s">
        <v>242</v>
      </c>
      <c r="D35" s="29" t="s">
        <v>221</v>
      </c>
      <c r="E35" s="29" t="s">
        <v>352</v>
      </c>
      <c r="F35" s="29" t="s">
        <v>63</v>
      </c>
    </row>
    <row r="36" spans="1:6" x14ac:dyDescent="0.35">
      <c r="A36" s="29" t="s">
        <v>174</v>
      </c>
      <c r="B36" s="29" t="s">
        <v>243</v>
      </c>
      <c r="C36" s="29" t="s">
        <v>208</v>
      </c>
      <c r="D36" s="29" t="s">
        <v>244</v>
      </c>
      <c r="E36" s="29" t="s">
        <v>352</v>
      </c>
      <c r="F36" s="29" t="s">
        <v>63</v>
      </c>
    </row>
    <row r="37" spans="1:6" x14ac:dyDescent="0.35">
      <c r="A37" s="29" t="s">
        <v>177</v>
      </c>
      <c r="B37" s="29" t="s">
        <v>245</v>
      </c>
      <c r="C37" s="29" t="s">
        <v>211</v>
      </c>
      <c r="D37" s="29" t="s">
        <v>244</v>
      </c>
      <c r="E37" s="29" t="s">
        <v>352</v>
      </c>
      <c r="F37" s="29" t="s">
        <v>63</v>
      </c>
    </row>
    <row r="38" spans="1:6" x14ac:dyDescent="0.35">
      <c r="A38" s="29" t="s">
        <v>180</v>
      </c>
      <c r="B38" s="29" t="s">
        <v>246</v>
      </c>
      <c r="C38" s="29" t="s">
        <v>247</v>
      </c>
      <c r="D38" s="29" t="s">
        <v>248</v>
      </c>
      <c r="E38" s="29" t="s">
        <v>352</v>
      </c>
      <c r="F38" s="29" t="s">
        <v>63</v>
      </c>
    </row>
    <row r="39" spans="1:6" x14ac:dyDescent="0.35">
      <c r="A39" s="29" t="s">
        <v>183</v>
      </c>
      <c r="B39" s="29" t="s">
        <v>249</v>
      </c>
      <c r="C39" s="29" t="s">
        <v>250</v>
      </c>
      <c r="D39" s="29" t="s">
        <v>248</v>
      </c>
      <c r="E39" s="29" t="s">
        <v>352</v>
      </c>
      <c r="F39" s="29" t="s">
        <v>63</v>
      </c>
    </row>
    <row r="40" spans="1:6" x14ac:dyDescent="0.35">
      <c r="A40" s="29" t="s">
        <v>186</v>
      </c>
      <c r="B40" s="29" t="s">
        <v>251</v>
      </c>
      <c r="C40" s="29" t="s">
        <v>252</v>
      </c>
      <c r="D40" s="29" t="s">
        <v>248</v>
      </c>
      <c r="E40" s="29" t="s">
        <v>352</v>
      </c>
      <c r="F40" s="29" t="s">
        <v>63</v>
      </c>
    </row>
    <row r="41" spans="1:6" x14ac:dyDescent="0.35">
      <c r="A41" s="29" t="s">
        <v>189</v>
      </c>
      <c r="B41" s="29" t="s">
        <v>253</v>
      </c>
      <c r="C41" s="29" t="s">
        <v>254</v>
      </c>
      <c r="D41" s="29" t="s">
        <v>221</v>
      </c>
      <c r="E41" s="29" t="s">
        <v>352</v>
      </c>
      <c r="F41" s="29" t="s">
        <v>63</v>
      </c>
    </row>
    <row r="42" spans="1:6" x14ac:dyDescent="0.35">
      <c r="A42" s="29" t="s">
        <v>193</v>
      </c>
      <c r="B42" s="29" t="s">
        <v>255</v>
      </c>
      <c r="C42" s="29" t="s">
        <v>256</v>
      </c>
      <c r="D42" s="29" t="s">
        <v>221</v>
      </c>
      <c r="E42" s="29" t="s">
        <v>352</v>
      </c>
      <c r="F42" s="29" t="s">
        <v>63</v>
      </c>
    </row>
    <row r="43" spans="1:6" x14ac:dyDescent="0.35">
      <c r="A43" s="29" t="s">
        <v>196</v>
      </c>
      <c r="B43" s="29" t="s">
        <v>257</v>
      </c>
      <c r="C43" s="29" t="s">
        <v>208</v>
      </c>
      <c r="D43" s="29" t="s">
        <v>258</v>
      </c>
      <c r="E43" s="29" t="s">
        <v>352</v>
      </c>
      <c r="F43" s="29" t="s">
        <v>63</v>
      </c>
    </row>
    <row r="44" spans="1:6" x14ac:dyDescent="0.35">
      <c r="A44" s="29" t="s">
        <v>197</v>
      </c>
      <c r="B44" s="29" t="s">
        <v>259</v>
      </c>
      <c r="C44" s="29" t="s">
        <v>211</v>
      </c>
      <c r="D44" s="29" t="s">
        <v>258</v>
      </c>
      <c r="E44" s="29" t="s">
        <v>352</v>
      </c>
      <c r="F44" s="29" t="s">
        <v>63</v>
      </c>
    </row>
    <row r="45" spans="1:6" x14ac:dyDescent="0.35">
      <c r="A45" s="29" t="s">
        <v>260</v>
      </c>
      <c r="B45" s="29" t="s">
        <v>261</v>
      </c>
      <c r="C45" s="29" t="s">
        <v>262</v>
      </c>
      <c r="D45" s="29" t="s">
        <v>263</v>
      </c>
      <c r="E45" s="29" t="s">
        <v>352</v>
      </c>
      <c r="F45" s="29" t="s">
        <v>63</v>
      </c>
    </row>
    <row r="46" spans="1:6" x14ac:dyDescent="0.35">
      <c r="A46" s="29" t="s">
        <v>264</v>
      </c>
      <c r="B46" s="29" t="s">
        <v>265</v>
      </c>
      <c r="C46" s="29" t="s">
        <v>266</v>
      </c>
      <c r="D46" s="29" t="s">
        <v>263</v>
      </c>
      <c r="E46" s="29" t="s">
        <v>352</v>
      </c>
      <c r="F46" s="29" t="s">
        <v>63</v>
      </c>
    </row>
    <row r="47" spans="1:6" x14ac:dyDescent="0.35">
      <c r="A47" s="29" t="s">
        <v>267</v>
      </c>
      <c r="B47" s="29" t="s">
        <v>268</v>
      </c>
      <c r="C47" s="29" t="s">
        <v>269</v>
      </c>
      <c r="D47" s="29" t="s">
        <v>263</v>
      </c>
      <c r="E47" s="29" t="s">
        <v>352</v>
      </c>
      <c r="F47" s="29" t="s">
        <v>63</v>
      </c>
    </row>
    <row r="48" spans="1:6" x14ac:dyDescent="0.35">
      <c r="A48" s="29" t="s">
        <v>270</v>
      </c>
      <c r="B48" s="29" t="s">
        <v>271</v>
      </c>
      <c r="C48" s="29" t="s">
        <v>272</v>
      </c>
      <c r="D48" s="29" t="s">
        <v>263</v>
      </c>
      <c r="E48" s="29" t="s">
        <v>352</v>
      </c>
      <c r="F48" s="29" t="s">
        <v>63</v>
      </c>
    </row>
    <row r="49" spans="1:6" x14ac:dyDescent="0.35">
      <c r="A49" s="29" t="s">
        <v>273</v>
      </c>
      <c r="B49" s="29" t="s">
        <v>274</v>
      </c>
      <c r="C49" s="29" t="s">
        <v>275</v>
      </c>
      <c r="D49" s="29" t="s">
        <v>221</v>
      </c>
      <c r="E49" s="29" t="s">
        <v>352</v>
      </c>
      <c r="F49" s="29" t="s">
        <v>63</v>
      </c>
    </row>
    <row r="50" spans="1:6" x14ac:dyDescent="0.35">
      <c r="A50" s="29" t="s">
        <v>276</v>
      </c>
      <c r="B50" s="29" t="s">
        <v>277</v>
      </c>
      <c r="C50" s="29" t="s">
        <v>278</v>
      </c>
      <c r="D50" s="29" t="s">
        <v>221</v>
      </c>
      <c r="E50" s="29" t="s">
        <v>352</v>
      </c>
      <c r="F50" s="29" t="s">
        <v>63</v>
      </c>
    </row>
    <row r="51" spans="1:6" x14ac:dyDescent="0.35">
      <c r="A51" s="29" t="s">
        <v>279</v>
      </c>
      <c r="B51" s="29" t="s">
        <v>280</v>
      </c>
      <c r="C51" s="29" t="s">
        <v>281</v>
      </c>
      <c r="D51" s="29" t="s">
        <v>221</v>
      </c>
      <c r="E51" s="29" t="s">
        <v>352</v>
      </c>
      <c r="F51" s="29" t="s">
        <v>63</v>
      </c>
    </row>
    <row r="52" spans="1:6" x14ac:dyDescent="0.35">
      <c r="A52" s="29" t="s">
        <v>282</v>
      </c>
      <c r="B52" s="29" t="s">
        <v>283</v>
      </c>
      <c r="C52" s="29" t="s">
        <v>208</v>
      </c>
      <c r="D52" s="29" t="s">
        <v>284</v>
      </c>
      <c r="E52" s="29" t="s">
        <v>352</v>
      </c>
      <c r="F52" s="29" t="s">
        <v>63</v>
      </c>
    </row>
    <row r="53" spans="1:6" x14ac:dyDescent="0.35">
      <c r="A53" s="29" t="s">
        <v>285</v>
      </c>
      <c r="B53" s="29" t="s">
        <v>286</v>
      </c>
      <c r="C53" s="29" t="s">
        <v>211</v>
      </c>
      <c r="D53" s="29" t="s">
        <v>284</v>
      </c>
      <c r="E53" s="29" t="s">
        <v>352</v>
      </c>
      <c r="F53" s="29" t="s">
        <v>63</v>
      </c>
    </row>
    <row r="54" spans="1:6" x14ac:dyDescent="0.35">
      <c r="A54" s="29" t="s">
        <v>287</v>
      </c>
      <c r="B54" s="29" t="s">
        <v>288</v>
      </c>
      <c r="C54" s="29" t="s">
        <v>289</v>
      </c>
      <c r="D54" s="29" t="s">
        <v>290</v>
      </c>
      <c r="E54" s="29" t="s">
        <v>352</v>
      </c>
      <c r="F54" s="29" t="s">
        <v>63</v>
      </c>
    </row>
    <row r="55" spans="1:6" x14ac:dyDescent="0.35">
      <c r="A55" s="29" t="s">
        <v>291</v>
      </c>
      <c r="B55" s="29" t="s">
        <v>292</v>
      </c>
      <c r="C55" s="29" t="s">
        <v>293</v>
      </c>
      <c r="D55" s="29" t="s">
        <v>221</v>
      </c>
      <c r="E55" s="29" t="s">
        <v>352</v>
      </c>
      <c r="F55" s="29" t="s">
        <v>63</v>
      </c>
    </row>
    <row r="56" spans="1:6" x14ac:dyDescent="0.35">
      <c r="A56" s="29" t="s">
        <v>294</v>
      </c>
      <c r="B56" s="29" t="s">
        <v>295</v>
      </c>
      <c r="C56" s="29" t="s">
        <v>296</v>
      </c>
      <c r="D56" s="29" t="s">
        <v>221</v>
      </c>
      <c r="E56" s="29" t="s">
        <v>352</v>
      </c>
      <c r="F56" s="29" t="s">
        <v>63</v>
      </c>
    </row>
    <row r="57" spans="1:6" x14ac:dyDescent="0.35">
      <c r="A57" s="29" t="s">
        <v>297</v>
      </c>
      <c r="B57" s="29" t="s">
        <v>298</v>
      </c>
      <c r="C57" s="29" t="s">
        <v>208</v>
      </c>
      <c r="D57" s="29" t="s">
        <v>299</v>
      </c>
      <c r="E57" s="29" t="s">
        <v>352</v>
      </c>
      <c r="F57" s="29" t="s">
        <v>63</v>
      </c>
    </row>
    <row r="58" spans="1:6" x14ac:dyDescent="0.35">
      <c r="A58" s="29" t="s">
        <v>300</v>
      </c>
      <c r="B58" s="29" t="s">
        <v>301</v>
      </c>
      <c r="C58" s="29" t="s">
        <v>211</v>
      </c>
      <c r="D58" s="29" t="s">
        <v>299</v>
      </c>
      <c r="E58" s="29" t="s">
        <v>352</v>
      </c>
      <c r="F58" s="29" t="s">
        <v>63</v>
      </c>
    </row>
    <row r="59" spans="1:6" x14ac:dyDescent="0.35">
      <c r="A59" s="29" t="s">
        <v>302</v>
      </c>
      <c r="B59" s="29" t="s">
        <v>303</v>
      </c>
      <c r="C59" s="29" t="s">
        <v>304</v>
      </c>
      <c r="D59" s="29" t="s">
        <v>305</v>
      </c>
      <c r="E59" s="29" t="s">
        <v>352</v>
      </c>
      <c r="F59" s="29" t="s">
        <v>63</v>
      </c>
    </row>
    <row r="60" spans="1:6" x14ac:dyDescent="0.35">
      <c r="A60" s="29" t="s">
        <v>306</v>
      </c>
      <c r="B60" s="29" t="s">
        <v>307</v>
      </c>
      <c r="C60" s="29" t="s">
        <v>308</v>
      </c>
      <c r="D60" s="29" t="s">
        <v>221</v>
      </c>
      <c r="E60" s="29" t="s">
        <v>352</v>
      </c>
      <c r="F60" s="29" t="s">
        <v>63</v>
      </c>
    </row>
    <row r="61" spans="1:6" x14ac:dyDescent="0.35">
      <c r="A61" s="29" t="s">
        <v>309</v>
      </c>
      <c r="B61" s="29" t="s">
        <v>310</v>
      </c>
      <c r="C61" s="29" t="s">
        <v>311</v>
      </c>
      <c r="D61" s="29" t="s">
        <v>221</v>
      </c>
      <c r="E61" s="29" t="s">
        <v>352</v>
      </c>
      <c r="F61" s="29" t="s">
        <v>63</v>
      </c>
    </row>
    <row r="62" spans="1:6" x14ac:dyDescent="0.35">
      <c r="A62" s="29" t="s">
        <v>312</v>
      </c>
      <c r="B62" s="29" t="s">
        <v>313</v>
      </c>
      <c r="C62" s="29" t="s">
        <v>208</v>
      </c>
      <c r="D62" s="29" t="s">
        <v>314</v>
      </c>
      <c r="E62" s="29" t="s">
        <v>352</v>
      </c>
      <c r="F62" s="29" t="s">
        <v>63</v>
      </c>
    </row>
    <row r="63" spans="1:6" x14ac:dyDescent="0.35">
      <c r="A63" s="29" t="s">
        <v>315</v>
      </c>
      <c r="B63" s="29" t="s">
        <v>316</v>
      </c>
      <c r="C63" s="29" t="s">
        <v>211</v>
      </c>
      <c r="D63" s="29" t="s">
        <v>314</v>
      </c>
      <c r="E63" s="29" t="s">
        <v>352</v>
      </c>
      <c r="F63" s="29" t="s">
        <v>63</v>
      </c>
    </row>
    <row r="64" spans="1:6" x14ac:dyDescent="0.35">
      <c r="A64" s="29" t="s">
        <v>317</v>
      </c>
      <c r="B64" s="29" t="s">
        <v>318</v>
      </c>
      <c r="C64" s="29" t="s">
        <v>319</v>
      </c>
      <c r="D64" s="29" t="s">
        <v>320</v>
      </c>
      <c r="E64" s="29" t="s">
        <v>352</v>
      </c>
      <c r="F64" s="29" t="s">
        <v>63</v>
      </c>
    </row>
    <row r="65" spans="1:6" x14ac:dyDescent="0.35">
      <c r="A65" s="29" t="s">
        <v>321</v>
      </c>
      <c r="B65" s="29" t="s">
        <v>322</v>
      </c>
      <c r="C65" s="29" t="s">
        <v>323</v>
      </c>
      <c r="D65" s="29" t="s">
        <v>221</v>
      </c>
      <c r="E65" s="29" t="s">
        <v>352</v>
      </c>
      <c r="F65" s="29" t="s">
        <v>63</v>
      </c>
    </row>
    <row r="66" spans="1:6" x14ac:dyDescent="0.35">
      <c r="A66" s="29" t="s">
        <v>324</v>
      </c>
      <c r="B66" s="29" t="s">
        <v>325</v>
      </c>
      <c r="C66" s="29" t="s">
        <v>208</v>
      </c>
      <c r="D66" s="29" t="s">
        <v>326</v>
      </c>
      <c r="E66" s="29" t="s">
        <v>352</v>
      </c>
      <c r="F66" s="29" t="s">
        <v>63</v>
      </c>
    </row>
    <row r="67" spans="1:6" x14ac:dyDescent="0.35">
      <c r="A67" s="29" t="s">
        <v>327</v>
      </c>
      <c r="B67" s="29" t="s">
        <v>328</v>
      </c>
      <c r="C67" s="29" t="s">
        <v>329</v>
      </c>
      <c r="D67" s="29" t="s">
        <v>330</v>
      </c>
      <c r="E67" s="29" t="s">
        <v>352</v>
      </c>
      <c r="F67" s="29" t="s">
        <v>63</v>
      </c>
    </row>
    <row r="68" spans="1:6" x14ac:dyDescent="0.35">
      <c r="A68" s="29" t="s">
        <v>331</v>
      </c>
      <c r="B68" s="29" t="s">
        <v>332</v>
      </c>
      <c r="C68" s="29" t="s">
        <v>333</v>
      </c>
      <c r="D68" s="29" t="s">
        <v>221</v>
      </c>
      <c r="E68" s="29" t="s">
        <v>352</v>
      </c>
      <c r="F68" s="29" t="s">
        <v>63</v>
      </c>
    </row>
    <row r="69" spans="1:6" x14ac:dyDescent="0.35">
      <c r="A69" s="29" t="s">
        <v>334</v>
      </c>
      <c r="B69" s="29" t="s">
        <v>335</v>
      </c>
      <c r="C69" s="29" t="s">
        <v>336</v>
      </c>
      <c r="D69" s="29" t="s">
        <v>221</v>
      </c>
      <c r="E69" s="29" t="s">
        <v>352</v>
      </c>
      <c r="F69" s="29" t="s">
        <v>63</v>
      </c>
    </row>
    <row r="70" spans="1:6" x14ac:dyDescent="0.35">
      <c r="A70" s="29" t="s">
        <v>337</v>
      </c>
      <c r="B70" s="29" t="s">
        <v>338</v>
      </c>
      <c r="C70" s="29" t="b">
        <v>0</v>
      </c>
      <c r="D70" s="29" t="s">
        <v>339</v>
      </c>
      <c r="E70" s="29" t="s">
        <v>352</v>
      </c>
      <c r="F70" s="29" t="s">
        <v>63</v>
      </c>
    </row>
    <row r="71" spans="1:6" x14ac:dyDescent="0.35">
      <c r="A71" s="29" t="s">
        <v>340</v>
      </c>
      <c r="B71" s="29" t="s">
        <v>341</v>
      </c>
      <c r="C71" s="29" t="b">
        <v>1</v>
      </c>
      <c r="D71" s="29" t="s">
        <v>342</v>
      </c>
      <c r="E71" s="29" t="s">
        <v>352</v>
      </c>
      <c r="F71" s="29" t="s">
        <v>63</v>
      </c>
    </row>
    <row r="72" spans="1:6" x14ac:dyDescent="0.35">
      <c r="A72" s="29" t="s">
        <v>343</v>
      </c>
      <c r="B72" s="29" t="s">
        <v>344</v>
      </c>
      <c r="C72" s="29" t="s">
        <v>345</v>
      </c>
      <c r="D72" s="29" t="s">
        <v>346</v>
      </c>
      <c r="E72" s="29" t="s">
        <v>352</v>
      </c>
      <c r="F72" s="29" t="s">
        <v>63</v>
      </c>
    </row>
    <row r="73" spans="1:6" x14ac:dyDescent="0.35">
      <c r="A73" s="29" t="s">
        <v>347</v>
      </c>
      <c r="B73" s="29" t="s">
        <v>348</v>
      </c>
      <c r="C73" s="29" t="s">
        <v>349</v>
      </c>
      <c r="D73" s="29" t="s">
        <v>350</v>
      </c>
      <c r="E73" s="29" t="s">
        <v>352</v>
      </c>
      <c r="F73" s="29" t="s">
        <v>63</v>
      </c>
    </row>
  </sheetData>
  <mergeCells count="16">
    <mergeCell ref="B9:C9"/>
    <mergeCell ref="G9:K9"/>
    <mergeCell ref="G13:K13"/>
    <mergeCell ref="G14:K14"/>
    <mergeCell ref="G15:K15"/>
    <mergeCell ref="F1:K1"/>
    <mergeCell ref="H2:K2"/>
    <mergeCell ref="H6:K6"/>
    <mergeCell ref="B8:C8"/>
    <mergeCell ref="G8:K8"/>
    <mergeCell ref="B10:C10"/>
    <mergeCell ref="G10:K10"/>
    <mergeCell ref="B11:C11"/>
    <mergeCell ref="G11:K11"/>
    <mergeCell ref="B12:C12"/>
    <mergeCell ref="G12:K1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46DF-3A24-4BB7-AD38-4ED41D361196}">
  <dimension ref="A1:X21"/>
  <sheetViews>
    <sheetView workbookViewId="0">
      <selection activeCell="G11" sqref="G11"/>
    </sheetView>
  </sheetViews>
  <sheetFormatPr defaultRowHeight="14.5" x14ac:dyDescent="0.35"/>
  <cols>
    <col min="1" max="1" width="8.7265625" style="25"/>
    <col min="2" max="2" width="19.26953125" style="25" customWidth="1"/>
    <col min="3" max="3" width="17" style="25" customWidth="1"/>
    <col min="4" max="10" width="8.7265625" style="25"/>
    <col min="11" max="11" width="12.90625" style="25" customWidth="1"/>
    <col min="12" max="15" width="8.7265625" style="25"/>
    <col min="16" max="16" width="17.26953125" style="25" customWidth="1"/>
    <col min="17" max="16384" width="8.7265625" style="25"/>
  </cols>
  <sheetData>
    <row r="1" spans="1:24" ht="20.5" thickBot="1" x14ac:dyDescent="0.4">
      <c r="D1" s="95" t="s">
        <v>43</v>
      </c>
      <c r="E1" s="84"/>
      <c r="F1" s="84"/>
    </row>
    <row r="2" spans="1:24" ht="15" thickBot="1" x14ac:dyDescent="0.4">
      <c r="A2" s="88" t="s">
        <v>44</v>
      </c>
      <c r="B2" s="89"/>
      <c r="C2" s="98" t="s">
        <v>371</v>
      </c>
      <c r="D2" s="99"/>
      <c r="E2" s="100"/>
      <c r="F2" s="102" t="s">
        <v>45</v>
      </c>
      <c r="G2" s="99"/>
      <c r="H2" s="92" t="s">
        <v>15</v>
      </c>
      <c r="I2" s="93"/>
      <c r="J2" s="93"/>
      <c r="K2" s="94"/>
    </row>
    <row r="3" spans="1:24" ht="15" thickBot="1" x14ac:dyDescent="0.4">
      <c r="A3" s="90" t="s">
        <v>46</v>
      </c>
      <c r="B3" s="91"/>
      <c r="C3" s="85">
        <v>1</v>
      </c>
      <c r="D3" s="86"/>
      <c r="E3" s="87"/>
      <c r="F3" s="101" t="s">
        <v>47</v>
      </c>
      <c r="G3" s="86"/>
      <c r="H3" s="92"/>
      <c r="I3" s="93"/>
      <c r="J3" s="93"/>
      <c r="K3" s="94"/>
    </row>
    <row r="4" spans="1:24" ht="41.5" customHeight="1" thickBot="1" x14ac:dyDescent="0.4">
      <c r="A4" s="27" t="s">
        <v>48</v>
      </c>
      <c r="B4" s="121" t="s">
        <v>392</v>
      </c>
      <c r="C4" s="122"/>
      <c r="D4" s="122"/>
      <c r="E4" s="122"/>
      <c r="F4" s="122"/>
      <c r="G4" s="122"/>
      <c r="H4" s="122"/>
      <c r="I4" s="122"/>
      <c r="J4" s="122"/>
      <c r="K4" s="123"/>
    </row>
    <row r="6" spans="1:24" x14ac:dyDescent="0.35">
      <c r="B6" s="96" t="s">
        <v>49</v>
      </c>
      <c r="C6" s="84"/>
      <c r="D6" s="22">
        <v>1</v>
      </c>
      <c r="E6" s="22"/>
      <c r="H6" s="83" t="s">
        <v>365</v>
      </c>
      <c r="I6" s="84"/>
      <c r="J6" s="84"/>
      <c r="K6" s="84"/>
    </row>
    <row r="7" spans="1:24" x14ac:dyDescent="0.35">
      <c r="B7" s="96" t="s">
        <v>50</v>
      </c>
      <c r="C7" s="84"/>
      <c r="D7" s="22">
        <v>1</v>
      </c>
      <c r="E7" s="22"/>
    </row>
    <row r="8" spans="1:24" ht="15" thickBot="1" x14ac:dyDescent="0.4"/>
    <row r="9" spans="1:24" ht="39" customHeight="1" x14ac:dyDescent="0.35">
      <c r="A9" s="129" t="s">
        <v>51</v>
      </c>
      <c r="B9" s="144" t="s">
        <v>52</v>
      </c>
      <c r="C9" s="145"/>
      <c r="D9" s="131" t="s">
        <v>53</v>
      </c>
      <c r="E9" s="131" t="s">
        <v>54</v>
      </c>
      <c r="F9" s="131" t="s">
        <v>55</v>
      </c>
      <c r="G9" s="131" t="s">
        <v>56</v>
      </c>
      <c r="H9" s="131" t="s">
        <v>57</v>
      </c>
      <c r="I9" s="131" t="s">
        <v>58</v>
      </c>
      <c r="J9" s="131" t="s">
        <v>59</v>
      </c>
      <c r="K9" s="132" t="s">
        <v>49</v>
      </c>
      <c r="X9" s="124"/>
    </row>
    <row r="10" spans="1:24" x14ac:dyDescent="0.35">
      <c r="A10" s="140">
        <v>1</v>
      </c>
      <c r="B10" s="141" t="s">
        <v>393</v>
      </c>
      <c r="C10" s="80"/>
      <c r="D10" s="36">
        <v>8</v>
      </c>
      <c r="E10" s="36">
        <v>8</v>
      </c>
      <c r="F10" s="36">
        <v>0</v>
      </c>
      <c r="G10" s="36">
        <v>0</v>
      </c>
      <c r="H10" s="36">
        <v>0</v>
      </c>
      <c r="I10" s="36">
        <v>0</v>
      </c>
      <c r="J10" s="36">
        <v>8</v>
      </c>
      <c r="K10" s="133">
        <v>1</v>
      </c>
      <c r="V10" s="124"/>
      <c r="X10" s="124"/>
    </row>
    <row r="11" spans="1:24" x14ac:dyDescent="0.35">
      <c r="A11" s="140">
        <v>2</v>
      </c>
      <c r="B11" s="141" t="s">
        <v>394</v>
      </c>
      <c r="C11" s="80"/>
      <c r="D11" s="36">
        <v>8</v>
      </c>
      <c r="E11" s="36">
        <v>8</v>
      </c>
      <c r="F11" s="36">
        <v>0</v>
      </c>
      <c r="G11" s="36">
        <v>0</v>
      </c>
      <c r="H11" s="36">
        <v>0</v>
      </c>
      <c r="I11" s="36">
        <v>0</v>
      </c>
      <c r="J11" s="36">
        <v>8</v>
      </c>
      <c r="K11" s="133">
        <v>1</v>
      </c>
      <c r="V11" s="124"/>
      <c r="X11" s="124"/>
    </row>
    <row r="12" spans="1:24" x14ac:dyDescent="0.35">
      <c r="A12" s="143">
        <v>3</v>
      </c>
      <c r="B12" s="141" t="s">
        <v>395</v>
      </c>
      <c r="C12" s="80"/>
      <c r="D12" s="36">
        <v>7</v>
      </c>
      <c r="E12" s="36">
        <v>7</v>
      </c>
      <c r="F12" s="36">
        <v>0</v>
      </c>
      <c r="G12" s="36">
        <v>0</v>
      </c>
      <c r="H12" s="36">
        <v>0</v>
      </c>
      <c r="I12" s="36">
        <v>0</v>
      </c>
      <c r="J12" s="36">
        <v>7</v>
      </c>
      <c r="K12" s="133">
        <v>1</v>
      </c>
      <c r="V12" s="124"/>
      <c r="X12" s="124"/>
    </row>
    <row r="13" spans="1:24" x14ac:dyDescent="0.35">
      <c r="A13" s="147">
        <v>4</v>
      </c>
      <c r="B13" s="141" t="s">
        <v>396</v>
      </c>
      <c r="C13" s="80"/>
      <c r="D13" s="36">
        <v>9</v>
      </c>
      <c r="E13" s="36">
        <v>9</v>
      </c>
      <c r="F13" s="36">
        <v>0</v>
      </c>
      <c r="G13" s="36">
        <v>0</v>
      </c>
      <c r="H13" s="36">
        <v>0</v>
      </c>
      <c r="I13" s="36">
        <v>0</v>
      </c>
      <c r="J13" s="36">
        <v>9</v>
      </c>
      <c r="K13" s="133">
        <v>1</v>
      </c>
      <c r="V13" s="124"/>
    </row>
    <row r="14" spans="1:24" x14ac:dyDescent="0.35">
      <c r="A14" s="147">
        <v>5</v>
      </c>
      <c r="B14" s="146" t="s">
        <v>397</v>
      </c>
      <c r="C14" s="146"/>
      <c r="D14" s="36">
        <v>5</v>
      </c>
      <c r="E14" s="36">
        <v>5</v>
      </c>
      <c r="F14" s="36">
        <v>0</v>
      </c>
      <c r="G14" s="36">
        <v>0</v>
      </c>
      <c r="H14" s="36">
        <v>0</v>
      </c>
      <c r="I14" s="36">
        <v>0</v>
      </c>
      <c r="J14" s="36">
        <v>5</v>
      </c>
      <c r="K14" s="133">
        <v>1</v>
      </c>
      <c r="V14" s="124"/>
    </row>
    <row r="15" spans="1:24" x14ac:dyDescent="0.35">
      <c r="A15" s="147">
        <v>6</v>
      </c>
      <c r="B15" s="141" t="s">
        <v>398</v>
      </c>
      <c r="C15" s="141"/>
      <c r="D15" s="36">
        <v>5</v>
      </c>
      <c r="E15" s="36">
        <v>5</v>
      </c>
      <c r="F15" s="36">
        <v>0</v>
      </c>
      <c r="G15" s="36">
        <v>0</v>
      </c>
      <c r="H15" s="36">
        <v>0</v>
      </c>
      <c r="I15" s="36">
        <v>0</v>
      </c>
      <c r="J15" s="36">
        <v>5</v>
      </c>
      <c r="K15" s="133">
        <v>1</v>
      </c>
      <c r="V15" s="124"/>
    </row>
    <row r="16" spans="1:24" x14ac:dyDescent="0.35">
      <c r="A16" s="147">
        <v>7</v>
      </c>
      <c r="B16" s="141" t="s">
        <v>399</v>
      </c>
      <c r="C16" s="141"/>
      <c r="D16" s="36">
        <v>4</v>
      </c>
      <c r="E16" s="36">
        <v>4</v>
      </c>
      <c r="F16" s="36">
        <v>0</v>
      </c>
      <c r="G16" s="36">
        <v>0</v>
      </c>
      <c r="H16" s="36">
        <v>0</v>
      </c>
      <c r="I16" s="36">
        <v>0</v>
      </c>
      <c r="J16" s="36">
        <v>4</v>
      </c>
      <c r="K16" s="133">
        <v>1</v>
      </c>
      <c r="V16" s="124"/>
    </row>
    <row r="17" spans="1:22" x14ac:dyDescent="0.35">
      <c r="A17" s="147">
        <v>8</v>
      </c>
      <c r="B17" s="141" t="s">
        <v>400</v>
      </c>
      <c r="C17" s="141"/>
      <c r="D17" s="36">
        <v>4</v>
      </c>
      <c r="E17" s="36">
        <v>4</v>
      </c>
      <c r="F17" s="36">
        <v>0</v>
      </c>
      <c r="G17" s="36">
        <v>0</v>
      </c>
      <c r="H17" s="36">
        <v>0</v>
      </c>
      <c r="I17" s="36">
        <v>0</v>
      </c>
      <c r="J17" s="36">
        <v>4</v>
      </c>
      <c r="K17" s="133">
        <v>1</v>
      </c>
      <c r="V17" s="124"/>
    </row>
    <row r="18" spans="1:22" x14ac:dyDescent="0.35">
      <c r="A18" s="147">
        <v>9</v>
      </c>
      <c r="B18" s="141" t="s">
        <v>401</v>
      </c>
      <c r="C18" s="141"/>
      <c r="D18" s="36">
        <v>2</v>
      </c>
      <c r="E18" s="36">
        <v>2</v>
      </c>
      <c r="F18" s="36">
        <v>0</v>
      </c>
      <c r="G18" s="36">
        <v>0</v>
      </c>
      <c r="H18" s="36">
        <v>0</v>
      </c>
      <c r="I18" s="36">
        <v>0</v>
      </c>
      <c r="J18" s="36">
        <v>2</v>
      </c>
      <c r="K18" s="133">
        <v>1</v>
      </c>
      <c r="V18" s="124"/>
    </row>
    <row r="19" spans="1:22" x14ac:dyDescent="0.35">
      <c r="A19" s="147">
        <v>10</v>
      </c>
      <c r="B19" s="141" t="s">
        <v>402</v>
      </c>
      <c r="C19" s="141"/>
      <c r="D19" s="36">
        <v>4</v>
      </c>
      <c r="E19" s="36">
        <v>4</v>
      </c>
      <c r="F19" s="36">
        <v>0</v>
      </c>
      <c r="G19" s="36">
        <v>0</v>
      </c>
      <c r="H19" s="36">
        <v>0</v>
      </c>
      <c r="I19" s="36">
        <v>0</v>
      </c>
      <c r="J19" s="36">
        <v>4</v>
      </c>
      <c r="K19" s="133">
        <v>1</v>
      </c>
      <c r="V19" s="124"/>
    </row>
    <row r="20" spans="1:22" ht="15" thickBot="1" x14ac:dyDescent="0.4">
      <c r="A20" s="142"/>
      <c r="B20" s="136"/>
      <c r="C20" s="136"/>
      <c r="D20" s="136"/>
      <c r="E20" s="136"/>
      <c r="F20" s="136"/>
      <c r="G20" s="136"/>
      <c r="H20" s="136"/>
      <c r="I20" s="136"/>
      <c r="J20" s="136"/>
      <c r="K20" s="137"/>
    </row>
    <row r="21" spans="1:22" x14ac:dyDescent="0.35">
      <c r="A21" s="103" t="s">
        <v>60</v>
      </c>
      <c r="B21" s="126" t="s">
        <v>59</v>
      </c>
      <c r="C21" s="127"/>
      <c r="D21" s="128">
        <f>SUM(D10:D19)</f>
        <v>56</v>
      </c>
      <c r="E21" s="128">
        <f t="shared" ref="E21:K21" si="0">SUM(E10:E19)</f>
        <v>56</v>
      </c>
      <c r="F21" s="128">
        <f t="shared" si="0"/>
        <v>0</v>
      </c>
      <c r="G21" s="128">
        <f t="shared" si="0"/>
        <v>0</v>
      </c>
      <c r="H21" s="128">
        <f t="shared" si="0"/>
        <v>0</v>
      </c>
      <c r="I21" s="128">
        <f t="shared" si="0"/>
        <v>0</v>
      </c>
      <c r="J21" s="128">
        <f t="shared" si="0"/>
        <v>56</v>
      </c>
      <c r="K21" s="138">
        <v>1</v>
      </c>
    </row>
  </sheetData>
  <mergeCells count="26">
    <mergeCell ref="B18:C18"/>
    <mergeCell ref="B19:C19"/>
    <mergeCell ref="B11:C11"/>
    <mergeCell ref="B12:C12"/>
    <mergeCell ref="B13:C13"/>
    <mergeCell ref="B14:C14"/>
    <mergeCell ref="B16:C16"/>
    <mergeCell ref="A20:K20"/>
    <mergeCell ref="B21:C21"/>
    <mergeCell ref="B15:C15"/>
    <mergeCell ref="B17:C17"/>
    <mergeCell ref="B4:K4"/>
    <mergeCell ref="B6:C6"/>
    <mergeCell ref="H6:K6"/>
    <mergeCell ref="B7:C7"/>
    <mergeCell ref="B9:C9"/>
    <mergeCell ref="B10:C10"/>
    <mergeCell ref="D1:F1"/>
    <mergeCell ref="A2:B2"/>
    <mergeCell ref="C2:E2"/>
    <mergeCell ref="F2:G2"/>
    <mergeCell ref="H2:K2"/>
    <mergeCell ref="A3:B3"/>
    <mergeCell ref="C3:E3"/>
    <mergeCell ref="F3:G3"/>
    <mergeCell ref="H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Bai1</vt:lpstr>
      <vt:lpstr>TestSummaryReport Bai1</vt:lpstr>
      <vt:lpstr>Bai2</vt:lpstr>
      <vt:lpstr>TestSummaryReport Bai2</vt:lpstr>
      <vt:lpstr>Bai3</vt:lpstr>
      <vt:lpstr>TestSummaryReport Bai3</vt:lpstr>
      <vt:lpstr>Bai4</vt:lpstr>
      <vt:lpstr>TestSummaryReport Bai4</vt:lpstr>
      <vt:lpstr>Bai5</vt:lpstr>
      <vt:lpstr>TestSummaryReport Bai5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Trần Minh Nhật</dc:creator>
  <cp:lastModifiedBy>Trần Minh Nhật</cp:lastModifiedBy>
  <dcterms:created xsi:type="dcterms:W3CDTF">2025-07-21T09:59:32Z</dcterms:created>
  <dcterms:modified xsi:type="dcterms:W3CDTF">2026-01-27T10:43:59Z</dcterms:modified>
</cp:coreProperties>
</file>