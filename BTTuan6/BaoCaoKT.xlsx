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emThuPhanMem\BTTuan6\"/>
    </mc:Choice>
  </mc:AlternateContent>
  <xr:revisionPtr revIDLastSave="0" documentId="13_ncr:1_{2ED583A5-4079-41F9-BCCB-AC2AD59233CC}" xr6:coauthVersionLast="47" xr6:coauthVersionMax="47" xr10:uidLastSave="{00000000-0000-0000-0000-000000000000}"/>
  <bookViews>
    <workbookView xWindow="-110" yWindow="-110" windowWidth="19420" windowHeight="10300" firstSheet="1" activeTab="3" xr2:uid="{1681B432-FB50-4A4A-80DB-0DA80F94EE2F}"/>
  </bookViews>
  <sheets>
    <sheet name="Tuan6_Bai1" sheetId="4" r:id="rId1"/>
    <sheet name="Tuan6_Bai2" sheetId="5" r:id="rId2"/>
    <sheet name="Tuan6_Bai3" sheetId="1" r:id="rId3"/>
    <sheet name="Tuan6_Bai4" sheetId="7" r:id="rId4"/>
    <sheet name="Tuan6_Bai5" sheetId="2" r:id="rId5"/>
    <sheet name="Tuan6_Bai6." sheetId="6" r:id="rId6"/>
    <sheet name="TestCaseSummary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5" i="3" l="1"/>
  <c r="J15" i="3"/>
  <c r="I15" i="3"/>
  <c r="H15" i="3"/>
  <c r="G15" i="3"/>
  <c r="F15" i="3"/>
  <c r="E15" i="3"/>
  <c r="D15" i="3"/>
</calcChain>
</file>

<file path=xl/sharedStrings.xml><?xml version="1.0" encoding="utf-8"?>
<sst xmlns="http://schemas.openxmlformats.org/spreadsheetml/2006/main" count="516" uniqueCount="249">
  <si>
    <t>Test Case ID</t>
  </si>
  <si>
    <t>BA_01</t>
  </si>
  <si>
    <t>Test Case Description</t>
  </si>
  <si>
    <t>Kiểm thử các phương thức của lớp MathFunc bao gồm: factorial(), plus() và getCalls()</t>
  </si>
  <si>
    <t>Created By</t>
  </si>
  <si>
    <t>Trần Minh Nhật</t>
  </si>
  <si>
    <t>Reviewed By</t>
  </si>
  <si>
    <t>Version</t>
  </si>
  <si>
    <t>QA Tester's Log</t>
  </si>
  <si>
    <t>Tester's Name</t>
  </si>
  <si>
    <t>Date Tested</t>
  </si>
  <si>
    <t>Test Case</t>
  </si>
  <si>
    <t>MathFuncTest</t>
  </si>
  <si>
    <t>S #</t>
  </si>
  <si>
    <t>Prerequisites:</t>
  </si>
  <si>
    <t>Test Data Requirement</t>
  </si>
  <si>
    <t>JDK 21 đã được cài đặt</t>
  </si>
  <si>
    <t>Giá trị n = 0, 1, 5 cho test factorial()</t>
  </si>
  <si>
    <t>Maven đã được cài đặt và cấu hình</t>
  </si>
  <si>
    <t>Giá trị n = -1 cho test factorialNegative() (expected IllegalArgumentException)</t>
  </si>
  <si>
    <t>JUnit 4.13.2 dependency đã được thêm vào pom.xml</t>
  </si>
  <si>
    <t>Giá trị num1 = 1, num2 = 2 cho test plus()</t>
  </si>
  <si>
    <t>Project đã được compile thành công (mvn compile test-compile)</t>
  </si>
  <si>
    <t>Đối tượng MathFunc được khởi tạo trước mỗi test (@Before)</t>
  </si>
  <si>
    <t>Test Conditions</t>
  </si>
  <si>
    <t>ID</t>
  </si>
  <si>
    <t>Mô tả Test Case</t>
  </si>
  <si>
    <t>Bộ dữ liệu</t>
  </si>
  <si>
    <t>Kết quả mong đợi</t>
  </si>
  <si>
    <t>Kết quả thực tế</t>
  </si>
  <si>
    <t>Pass / Fail / Not executed /
Suspended</t>
  </si>
  <si>
    <t>TC01</t>
  </si>
  <si>
    <t>Gọi factorial(0) - Kiểm tra giai thừa của 0</t>
  </si>
  <si>
    <t>Pass</t>
  </si>
  <si>
    <t>TC02</t>
  </si>
  <si>
    <t>Gọi factorial(1) - Kiểm tra giai thừa của 1</t>
  </si>
  <si>
    <t>TC03</t>
  </si>
  <si>
    <t>Gọi factorial(5) - Kiểm tra giai thừa của 5</t>
  </si>
  <si>
    <t>TC04</t>
  </si>
  <si>
    <t>Gọi factorial(-1) - Kiểm tra số âm</t>
  </si>
  <si>
    <t>Throw IllegalArgumentException</t>
  </si>
  <si>
    <t>IllegalArgumentException</t>
  </si>
  <si>
    <t>TC05</t>
  </si>
  <si>
    <t>Gọi plus(1, 1) - Kiểm tra tính tổng</t>
  </si>
  <si>
    <t>1,1</t>
  </si>
  <si>
    <t>2 (hoặc 3 theo đề - @Ignore)</t>
  </si>
  <si>
    <t>Skipped</t>
  </si>
  <si>
    <t>Suspended</t>
  </si>
  <si>
    <t>TC06</t>
  </si>
  <si>
    <t>Kiểm tra biến calls sau khi gọi các phương thức</t>
  </si>
  <si>
    <t>factorial(5), plus(1,2)</t>
  </si>
  <si>
    <t>Đếm số lần gọi phương thức</t>
  </si>
  <si>
    <t>0 -&gt; 1 -&gt; 2</t>
  </si>
  <si>
    <t>TEST REPORT</t>
  </si>
  <si>
    <t>Project Name</t>
  </si>
  <si>
    <t>Bai1</t>
  </si>
  <si>
    <t>Creator</t>
  </si>
  <si>
    <t>Group ID</t>
  </si>
  <si>
    <t>Approver</t>
  </si>
  <si>
    <t>Note</t>
  </si>
  <si>
    <t>Kiểm thử các phương thức của lớp MathFunc: factorial(), plus(), getCalls()</t>
  </si>
  <si>
    <t>Test Coverage</t>
  </si>
  <si>
    <t>Date:  27/01/2026</t>
  </si>
  <si>
    <t>Successful Coverage</t>
  </si>
  <si>
    <t>No.</t>
  </si>
  <si>
    <t>Items</t>
  </si>
  <si>
    <t>Tested</t>
  </si>
  <si>
    <t>Passed</t>
  </si>
  <si>
    <t>Failed</t>
  </si>
  <si>
    <t>Blocked</t>
  </si>
  <si>
    <t>Not yet tested</t>
  </si>
  <si>
    <t>Total</t>
  </si>
  <si>
    <t>factorial() - Kiểm tra giai thừa</t>
  </si>
  <si>
    <t>factorialNegative() - Kiểm tra số âm</t>
  </si>
  <si>
    <t>calls() - Đếm số lần gọi</t>
  </si>
  <si>
    <t>todo() - Test @Ignore</t>
  </si>
  <si>
    <t/>
  </si>
  <si>
    <t>BA_04</t>
  </si>
  <si>
    <t>BA_05</t>
  </si>
  <si>
    <t>BA_03</t>
  </si>
  <si>
    <t>BA_02</t>
  </si>
  <si>
    <t>message = "fpoly exception"</t>
  </si>
  <si>
    <t>Throw ArithmeticException</t>
  </si>
  <si>
    <t>"Hi!fpoly exception"</t>
  </si>
  <si>
    <t>message = ""</t>
  </si>
  <si>
    <t>"Hi!"</t>
  </si>
  <si>
    <t>message = "A"</t>
  </si>
  <si>
    <t>"Hi!A"</t>
  </si>
  <si>
    <t>message = "@#$%"</t>
  </si>
  <si>
    <t>"Hi!@#$%"</t>
  </si>
  <si>
    <t>message = "test"</t>
  </si>
  <si>
    <t>assertNotNull, startsWith("Hi!")</t>
  </si>
  <si>
    <t>Giá trị message = "fpoly exception" cho test printMessage() và printHiMessage()</t>
  </si>
  <si>
    <t>Giá trị message = "" (rỗng) cho test biên dưới</t>
  </si>
  <si>
    <t>Giá trị message = "A" (1 ký tự) cho test biên</t>
  </si>
  <si>
    <t>Giá trị message = "@#$%" (ký tự đặc biệt) cho test phân vùng</t>
  </si>
  <si>
    <t>Đối tượng JunitMessage được khởi tạo trước mỗi test</t>
  </si>
  <si>
    <t>Như mong đợi</t>
  </si>
  <si>
    <t>AirthematicTest</t>
  </si>
  <si>
    <t>Kiểm thử các phương thức của lớp JunitMessage bao gồm: printMessage() và printHiMessage()</t>
  </si>
  <si>
    <t>Test age âm với ExpectedException Rule</t>
  </si>
  <si>
    <t>name="Fpoly", age=-1</t>
  </si>
  <si>
    <t>Test age âm với @Test(expected)</t>
  </si>
  <si>
    <t>Test age âm với try-catch</t>
  </si>
  <si>
    <t>name="Fpoly", age=0</t>
  </si>
  <si>
    <t>name="Fpoly", age=1</t>
  </si>
  <si>
    <t>Tạo Person thành công</t>
  </si>
  <si>
    <t>name="Fpoly", age=25</t>
  </si>
  <si>
    <t>TC07</t>
  </si>
  <si>
    <t>name="Fpoly", age=150</t>
  </si>
  <si>
    <t xml:space="preserve">Gọi printMessage() - Kiểm tra exception chia cho 0	</t>
  </si>
  <si>
    <t xml:space="preserve">Gọi printHiMessage() - Kiểm tra chuỗi trả về	</t>
  </si>
  <si>
    <t xml:space="preserve">Gọi printHiMessage() với message rỗng - Giá trị biên Xmin	</t>
  </si>
  <si>
    <t xml:space="preserve">Gọi printHiMessage() với 1 ký tự - Giá trị biên Xmin+1	</t>
  </si>
  <si>
    <t xml:space="preserve">Gọi printHiMessage() với ký tự đặc biệt	</t>
  </si>
  <si>
    <t xml:space="preserve">Kiểm tra kết quả không null và bắt đầu bằng "Hi!"	</t>
  </si>
  <si>
    <t xml:space="preserve">Test age = 1 </t>
  </si>
  <si>
    <t>Test age = 0</t>
  </si>
  <si>
    <t>Test age = 25</t>
  </si>
  <si>
    <t>Test age = 26</t>
  </si>
  <si>
    <t>Giá trị age = -1 cho test exception (age âm)</t>
  </si>
  <si>
    <t>Giá trị age = 0 cho test biên (age = 0)</t>
  </si>
  <si>
    <t>Giá trị age = 1 cho test biên hợp lệ (age = 1)</t>
  </si>
  <si>
    <t>Giá trị age = 100 cho test giá trị bình thường</t>
  </si>
  <si>
    <t>Giá trị name = "Fpoly" cho tất cả test</t>
  </si>
  <si>
    <t>Kiểm thử constructor của lớp Person với validation age, sử dụng 3 cách: ExpectedException Rule, @Test(expected), try-catch</t>
  </si>
  <si>
    <t>AgeValidationTest</t>
  </si>
  <si>
    <t xml:space="preserve">Test addError() thu thập nhiều lỗi	</t>
  </si>
  <si>
    <t>3 Throwable messages</t>
  </si>
  <si>
    <t>Thu thập 3 lỗi, test tiếp tục chạy</t>
  </si>
  <si>
    <t>value=10, expected=10</t>
  </si>
  <si>
    <t>Không có lỗi, test pass</t>
  </si>
  <si>
    <t>value=5, expected=10</t>
  </si>
  <si>
    <t>Thu thập 1 lỗi</t>
  </si>
  <si>
    <t>values: 10, 5, 20</t>
  </si>
  <si>
    <t>Thu thập lỗi cho giá trị sai</t>
  </si>
  <si>
    <t>Không addError, checkThat pass</t>
  </si>
  <si>
    <t>Test pass hoàn toàn</t>
  </si>
  <si>
    <t xml:space="preserve">có 3 lỗi	</t>
  </si>
  <si>
    <t>Không có lỗi</t>
  </si>
  <si>
    <t>1 lỗi</t>
  </si>
  <si>
    <t>Pass hoàn toàn</t>
  </si>
  <si>
    <t>ErrorCollector được khởi tạo với @Rule annotation</t>
  </si>
  <si>
    <t>Các Throwable messages để test addError()</t>
  </si>
  <si>
    <t>Các giá trị để test checkThat() matcher</t>
  </si>
  <si>
    <t>Các giá trị số để test assertEquals thông qua collector</t>
  </si>
  <si>
    <t>Kiểm thử ErrorCollector @Rule - Thu thập nhiều lỗi trong một test thay vì dừng ở lỗi đầu tiên</t>
  </si>
  <si>
    <t>ErrorCollectTest</t>
  </si>
  <si>
    <t>BA_06</t>
  </si>
  <si>
    <t>N/A</t>
  </si>
  <si>
    <t>Hiển thị đủ: Unit Id, Name*, Description, Cancel, Save</t>
  </si>
  <si>
    <t>UnitId= (blank); Name= (blank); Desc= (blank)</t>
  </si>
  <si>
    <r>
      <t xml:space="preserve">Báo lỗi Name bắt buộc, </t>
    </r>
    <r>
      <rPr>
        <b/>
        <sz val="11"/>
        <color theme="1"/>
        <rFont val="Calibri"/>
        <family val="2"/>
        <scheme val="minor"/>
      </rPr>
      <t>không lưu DB</t>
    </r>
  </si>
  <si>
    <t>UnitId= (blank); Name=" "; Desc= (blank)</t>
  </si>
  <si>
    <r>
      <t xml:space="preserve">Báo lỗi Name (trim), </t>
    </r>
    <r>
      <rPr>
        <b/>
        <sz val="11"/>
        <color theme="1"/>
        <rFont val="Calibri"/>
        <family val="2"/>
        <scheme val="minor"/>
      </rPr>
      <t>không lưu DB</t>
    </r>
  </si>
  <si>
    <t>Boundary Name = Xmin (1 ký tự)</t>
  </si>
  <si>
    <t>UnitId= (blank); Name="A"; Desc= (blank)</t>
  </si>
  <si>
    <t>Lưu thành công, DB có record mới</t>
  </si>
  <si>
    <t>Boundary Name = Xmax (100 ký tự)</t>
  </si>
  <si>
    <t>UnitId= (blank); Name=100 ký tự; Desc= (blank)</t>
  </si>
  <si>
    <t>Lưu thành công, DB lưu đúng Name</t>
  </si>
  <si>
    <t>Boundary Name = Xmax+1 (101 ký tự)</t>
  </si>
  <si>
    <t>UnitId= (blank); Name=101 ký tự; Desc= (blank)</t>
  </si>
  <si>
    <r>
      <t xml:space="preserve">Báo lỗi độ dài Name, </t>
    </r>
    <r>
      <rPr>
        <b/>
        <sz val="11"/>
        <color theme="1"/>
        <rFont val="Calibri"/>
        <family val="2"/>
        <scheme val="minor"/>
      </rPr>
      <t>không lưu DB</t>
    </r>
  </si>
  <si>
    <t>UnitId= (blank); Name="Dept 01"; Desc= (blank)</t>
  </si>
  <si>
    <t>Lưu thành công, DB insert (UnitId null/auto)</t>
  </si>
  <si>
    <t>TC08</t>
  </si>
  <si>
    <t>Boundary Unit Id = Xmin (1 ký tự)</t>
  </si>
  <si>
    <t>UnitId="A"; Name="Dept 02"; Desc= (blank)</t>
  </si>
  <si>
    <t>Lưu thành công, DB lưu đúng UnitId</t>
  </si>
  <si>
    <t>TC09</t>
  </si>
  <si>
    <t>Boundary Unit Id = Xmax (20 ký tự)</t>
  </si>
  <si>
    <t>UnitId=20 ký tự; Name="Dept 03"; Desc= (blank)</t>
  </si>
  <si>
    <t>TC10</t>
  </si>
  <si>
    <t>Boundary Unit Id = Xmax+1 (21 ký tự)</t>
  </si>
  <si>
    <t>UnitId=21 ký tự; Name="Dept 04"; Desc= (blank)</t>
  </si>
  <si>
    <r>
      <t xml:space="preserve">Báo lỗi Unit Id độ dài, </t>
    </r>
    <r>
      <rPr>
        <b/>
        <sz val="11"/>
        <color theme="1"/>
        <rFont val="Calibri"/>
        <family val="2"/>
        <scheme val="minor"/>
      </rPr>
      <t>không lưu DB</t>
    </r>
  </si>
  <si>
    <t>TC11</t>
  </si>
  <si>
    <t>UnitId="UNIT 01" (hoặc "UNIT@01"); Name="Dept 05"; Desc= (blank)</t>
  </si>
  <si>
    <r>
      <t xml:space="preserve">Báo lỗi Unit Id format, </t>
    </r>
    <r>
      <rPr>
        <b/>
        <sz val="11"/>
        <color theme="1"/>
        <rFont val="Calibri"/>
        <family val="2"/>
        <scheme val="minor"/>
      </rPr>
      <t>không lưu DB</t>
    </r>
  </si>
  <si>
    <t>TC12</t>
  </si>
  <si>
    <t>UnitId="QA_UNIT_01" (đã tồn tại); Name="Dept 06"; Desc= (blank)</t>
  </si>
  <si>
    <r>
      <t xml:space="preserve">Báo lỗi trùng Unit Id, </t>
    </r>
    <r>
      <rPr>
        <b/>
        <sz val="11"/>
        <color theme="1"/>
        <rFont val="Calibri"/>
        <family val="2"/>
        <scheme val="minor"/>
      </rPr>
      <t>không lưu DB</t>
    </r>
  </si>
  <si>
    <t>TC13</t>
  </si>
  <si>
    <t>Boundary Description = Xmax (255 ký tự)</t>
  </si>
  <si>
    <t>UnitId="OU_07"; Name="Dept 07"; Desc=255 ký tự</t>
  </si>
  <si>
    <t>Lưu thành công, DB lưu đúng Description</t>
  </si>
  <si>
    <t>TC14</t>
  </si>
  <si>
    <t>Boundary Description = Xmax+1 (256 ký tự)</t>
  </si>
  <si>
    <t>UnitId="OU_08"; Name="Dept 08"; Desc=256 ký tự</t>
  </si>
  <si>
    <r>
      <t xml:space="preserve">Báo lỗi Description độ dài, </t>
    </r>
    <r>
      <rPr>
        <b/>
        <sz val="11"/>
        <color theme="1"/>
        <rFont val="Calibri"/>
        <family val="2"/>
        <scheme val="minor"/>
      </rPr>
      <t>không lưu DB</t>
    </r>
  </si>
  <si>
    <t>TC15</t>
  </si>
  <si>
    <t>UnitId="OU_09"; Name="Dept 09"; Desc="abc"</t>
  </si>
  <si>
    <r>
      <t xml:space="preserve">Quay lại màn trước, </t>
    </r>
    <r>
      <rPr>
        <b/>
        <sz val="11"/>
        <color theme="1"/>
        <rFont val="Calibri"/>
        <family val="2"/>
        <scheme val="minor"/>
      </rPr>
      <t>không lưu DB</t>
    </r>
  </si>
  <si>
    <t>TC16</t>
  </si>
  <si>
    <t>UnitId="OU_10"; Name="Dept 10"; Desc= (blank)</t>
  </si>
  <si>
    <r>
      <t xml:space="preserve">Thông báo lỗi hệ thống/DB, </t>
    </r>
    <r>
      <rPr>
        <b/>
        <sz val="11"/>
        <color theme="1"/>
        <rFont val="Calibri"/>
        <family val="2"/>
        <scheme val="minor"/>
      </rPr>
      <t>không insert DB</t>
    </r>
  </si>
  <si>
    <t>Mở màn Add Organization Unit – kiểm tra hiển thị UI</t>
  </si>
  <si>
    <t>Bấm Save khi không nhập Name (rỗng)</t>
  </si>
  <si>
    <t>Unit Id không nhập (Unit Id optional) + Name hợp lệ</t>
  </si>
  <si>
    <t>Unit Id sai format (có khoảng trắng/ký tự đặc biệt)</t>
  </si>
  <si>
    <t>Unit Id bị trùng (unique)</t>
  </si>
  <si>
    <t>Bấm Cancel sau khi đã nhập dữ liệu</t>
  </si>
  <si>
    <t>Lỗi kết nối DB khi Save (DB down/network)</t>
  </si>
  <si>
    <t>Kiểm thử form thêm đơn vị tổ chức với kết nối PostgreSQL</t>
  </si>
  <si>
    <t>AddOrganizationUnit</t>
  </si>
  <si>
    <t>Xmin = 1 (độ dài tối thiểu cho Name)</t>
  </si>
  <si>
    <t>Xmax = 100 (độ dài tối đa cho Name)</t>
  </si>
  <si>
    <t>Kỹ thuật kiểm thử giá trị biên</t>
  </si>
  <si>
    <t>Xmin - 1 = 0 ký tự</t>
  </si>
  <si>
    <t>Xmin = 1 ký tự</t>
  </si>
  <si>
    <t>Xmin + 1 = 2 ký tự</t>
  </si>
  <si>
    <t>Xmax - 1 = 99 ký tự</t>
  </si>
  <si>
    <t>Xmax = 100 ký tự</t>
  </si>
  <si>
    <t>Xmax + 1 = 101 ký tự</t>
  </si>
  <si>
    <t>Xnom (điểm giữa) = 50 ký tự</t>
  </si>
  <si>
    <r>
      <t xml:space="preserve">Xmin = 1 (độ dài tối thiểu khi </t>
    </r>
    <r>
      <rPr>
        <b/>
        <sz val="11"/>
        <color theme="1"/>
        <rFont val="Calibri"/>
        <family val="2"/>
        <scheme val="minor"/>
      </rPr>
      <t>có nhập</t>
    </r>
    <r>
      <rPr>
        <sz val="11"/>
        <color theme="1"/>
        <rFont val="Calibri"/>
        <family val="2"/>
        <scheme val="minor"/>
      </rPr>
      <t xml:space="preserve"> Unit Id)</t>
    </r>
  </si>
  <si>
    <t>Xmax = 20 (độ dài tối đa cho Unit Id)</t>
  </si>
  <si>
    <t>Trường Tên</t>
  </si>
  <si>
    <t>Trường Unit ID</t>
  </si>
  <si>
    <t>Trường Mô tả</t>
  </si>
  <si>
    <r>
      <t>Xmin - 1 = 0 ký tự (</t>
    </r>
    <r>
      <rPr>
        <b/>
        <sz val="11"/>
        <color theme="1"/>
        <rFont val="Calibri"/>
        <family val="2"/>
        <scheme val="minor"/>
      </rPr>
      <t>không nhập</t>
    </r>
    <r>
      <rPr>
        <sz val="11"/>
        <color theme="1"/>
        <rFont val="Calibri"/>
        <family val="2"/>
        <scheme val="minor"/>
      </rPr>
      <t xml:space="preserve"> Unit Id)</t>
    </r>
  </si>
  <si>
    <t>Xmax - 1 = 19 ký tự</t>
  </si>
  <si>
    <t>Xmax = 20 ký tự</t>
  </si>
  <si>
    <t>Xmax + 1 = 21 ký tự</t>
  </si>
  <si>
    <t>Xnom (điểm giữa) = 10 ký tự</t>
  </si>
  <si>
    <t>Xmin = 0 (có thể rỗng)</t>
  </si>
  <si>
    <t>Xmax = 255 (độ dài tối đa cho Description)</t>
  </si>
  <si>
    <t xml:space="preserve">Model có đủ 3 trường: unitId, name, description. Getter/Setter hoạt động đúng	</t>
  </si>
  <si>
    <t xml:space="preserve">Throw IllegalArgumentException: "Name is required!", không lưu DB	</t>
  </si>
  <si>
    <t xml:space="preserve">Unit được tạo thành công, name="A", DB có record mới	</t>
  </si>
  <si>
    <t xml:space="preserve">Unit được tạo thành công, name.length()=100, DB lưu đúng	</t>
  </si>
  <si>
    <t xml:space="preserve">Throw IllegalArgumentException: "Name must not exceed 100 characters!", không lưu DB	</t>
  </si>
  <si>
    <t xml:space="preserve">Unit được tạo thành công, unitId=null, DB insert với unitId=null	</t>
  </si>
  <si>
    <t xml:space="preserve">Unit được tạo thành công, unitId="A", name="Dept 02"	</t>
  </si>
  <si>
    <t xml:space="preserve">Unit được tạo thành công, unitId.length()=20	</t>
  </si>
  <si>
    <t xml:space="preserve">Throw IllegalArgumentException: "Unit Id must not exceed 20 characters!", không lưu DB	</t>
  </si>
  <si>
    <t xml:space="preserve">Throw IllegalArgumentException: "Unit Id can only contain letters, numbers and underscores!", không lưu DB	</t>
  </si>
  <si>
    <t>Throw IllegalArgumentException: "Organization unit with this Unit Id already exists!", không lưu DB</t>
  </si>
  <si>
    <t xml:space="preserve">Unit được tạo thành công, description.length()=255	</t>
  </si>
  <si>
    <t xml:space="preserve">Throw IllegalArgumentException: "Description must not exceed 255 characters!", không lưu DB	</t>
  </si>
  <si>
    <t xml:space="preserve">Dữ liệu không được gọi save(), getOrganizationUnitById("OU_09") trả về null	</t>
  </si>
  <si>
    <t xml:space="preserve">Throw SQLException: "Database connection failed!", không insert DB	</t>
  </si>
  <si>
    <t>Xmin = 0 ký tự</t>
  </si>
  <si>
    <t>Xmin + 1 = 1 ký tự</t>
  </si>
  <si>
    <t>Xmax - 1 = 254 ký tự</t>
  </si>
  <si>
    <t>Xmax = 255 ký tự</t>
  </si>
  <si>
    <t>Xmax + 1 = 256 ký tự</t>
  </si>
  <si>
    <t>Xnom (điểm giữa) = 128 ký tự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</si>
</sst>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u/>
      <sz val="11"/>
      <name val="Calibri"/>
    </font>
    <font>
      <b/>
      <sz val="11"/>
      <name val="Calibri"/>
      <family val="2"/>
    </font>
    <font>
      <b/>
      <u/>
      <sz val="11"/>
      <name val="Calibri"/>
      <family val="2"/>
    </font>
    <font>
      <b/>
      <sz val="16"/>
      <color rgb="FF008000"/>
      <name val="Arial"/>
      <family val="2"/>
    </font>
    <font>
      <b/>
      <sz val="10"/>
      <color rgb="FFC00000"/>
      <name val="Arial"/>
      <family val="2"/>
    </font>
    <font>
      <sz val="10"/>
      <color rgb="FF008000"/>
      <name val="Arial"/>
      <family val="2"/>
    </font>
    <font>
      <i/>
      <sz val="10"/>
      <name val="Arial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5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2" xfId="0" applyBorder="1"/>
    <xf numFmtId="0" fontId="2" fillId="0" borderId="2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7" xfId="0" applyBorder="1"/>
    <xf numFmtId="0" fontId="2" fillId="0" borderId="7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14" xfId="0" applyBorder="1"/>
    <xf numFmtId="14" fontId="0" fillId="0" borderId="14" xfId="0" applyNumberFormat="1" applyBorder="1"/>
    <xf numFmtId="0" fontId="2" fillId="0" borderId="1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0" fillId="0" borderId="27" xfId="0" applyBorder="1"/>
    <xf numFmtId="0" fontId="0" fillId="0" borderId="26" xfId="0" applyBorder="1" applyAlignment="1">
      <alignment horizontal="center" vertical="center" wrapText="1"/>
    </xf>
    <xf numFmtId="0" fontId="0" fillId="0" borderId="28" xfId="0" applyBorder="1"/>
    <xf numFmtId="0" fontId="0" fillId="0" borderId="28" xfId="0" applyBorder="1" applyAlignment="1">
      <alignment wrapText="1"/>
    </xf>
    <xf numFmtId="0" fontId="7" fillId="0" borderId="35" xfId="0" applyFont="1" applyBorder="1" applyAlignment="1">
      <alignment horizontal="center" vertical="center"/>
    </xf>
    <xf numFmtId="9" fontId="10" fillId="0" borderId="0" xfId="0" applyNumberFormat="1" applyFont="1" applyAlignment="1">
      <alignment horizontal="left" vertical="center"/>
    </xf>
    <xf numFmtId="0" fontId="11" fillId="2" borderId="40" xfId="0" applyFont="1" applyFill="1" applyBorder="1" applyAlignment="1">
      <alignment horizontal="center" vertical="center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9" fontId="0" fillId="0" borderId="0" xfId="0" applyNumberFormat="1"/>
    <xf numFmtId="0" fontId="0" fillId="0" borderId="43" xfId="0" applyBorder="1" applyAlignment="1">
      <alignment horizontal="center" vertical="center"/>
    </xf>
    <xf numFmtId="9" fontId="0" fillId="0" borderId="44" xfId="0" applyNumberFormat="1" applyBorder="1"/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53" xfId="0" applyBorder="1" applyAlignment="1">
      <alignment horizontal="center" vertical="center"/>
    </xf>
    <xf numFmtId="0" fontId="0" fillId="0" borderId="27" xfId="0" applyBorder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19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21" xfId="0" applyBorder="1"/>
    <xf numFmtId="0" fontId="0" fillId="0" borderId="19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wrapText="1"/>
    </xf>
    <xf numFmtId="0" fontId="0" fillId="0" borderId="23" xfId="0" applyBorder="1" applyAlignment="1">
      <alignment wrapText="1"/>
    </xf>
    <xf numFmtId="14" fontId="0" fillId="0" borderId="15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21" xfId="0" applyBorder="1" applyAlignment="1">
      <alignment horizontal="left" vertical="center"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0" fillId="0" borderId="17" xfId="0" applyBorder="1"/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4" fillId="0" borderId="54" xfId="0" applyFont="1" applyBorder="1" applyAlignment="1">
      <alignment horizontal="center" vertical="center"/>
    </xf>
    <xf numFmtId="0" fontId="0" fillId="0" borderId="55" xfId="0" applyBorder="1"/>
    <xf numFmtId="0" fontId="0" fillId="0" borderId="21" xfId="0" applyBorder="1" applyAlignment="1">
      <alignment horizontal="left" vertical="center"/>
    </xf>
    <xf numFmtId="0" fontId="0" fillId="0" borderId="26" xfId="0" applyBorder="1"/>
    <xf numFmtId="0" fontId="0" fillId="2" borderId="45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2" borderId="48" xfId="0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0" fillId="0" borderId="0" xfId="0"/>
    <xf numFmtId="0" fontId="0" fillId="0" borderId="29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1" fillId="2" borderId="33" xfId="0" applyFont="1" applyFill="1" applyBorder="1" applyAlignment="1">
      <alignment horizontal="center" vertical="center" wrapText="1"/>
    </xf>
    <xf numFmtId="0" fontId="0" fillId="0" borderId="31" xfId="0" applyBorder="1"/>
    <xf numFmtId="0" fontId="6" fillId="0" borderId="0" xfId="0" applyFont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/>
    </xf>
    <xf numFmtId="0" fontId="0" fillId="0" borderId="32" xfId="0" applyBorder="1"/>
    <xf numFmtId="0" fontId="7" fillId="0" borderId="3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left" vertical="center"/>
    </xf>
    <xf numFmtId="0" fontId="0" fillId="0" borderId="38" xfId="0" applyBorder="1"/>
    <xf numFmtId="0" fontId="0" fillId="0" borderId="37" xfId="0" applyBorder="1"/>
    <xf numFmtId="0" fontId="7" fillId="0" borderId="39" xfId="0" applyFont="1" applyBorder="1" applyAlignment="1">
      <alignment horizontal="center" vertical="center"/>
    </xf>
    <xf numFmtId="0" fontId="0" fillId="0" borderId="58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4744-7870-4BD4-AE48-C6B634437774}">
  <dimension ref="A1:K22"/>
  <sheetViews>
    <sheetView zoomScale="70" zoomScaleNormal="70" workbookViewId="0">
      <selection activeCell="F1" sqref="F1:K1"/>
    </sheetView>
  </sheetViews>
  <sheetFormatPr defaultRowHeight="14.5" x14ac:dyDescent="0.35"/>
  <cols>
    <col min="3" max="3" width="33.7265625" customWidth="1"/>
    <col min="4" max="4" width="14.1796875" customWidth="1"/>
    <col min="5" max="5" width="26.6328125" customWidth="1"/>
    <col min="6" max="6" width="14.26953125" customWidth="1"/>
    <col min="16" max="16" width="18.453125" customWidth="1"/>
    <col min="17" max="17" width="21.453125" customWidth="1"/>
    <col min="18" max="18" width="30.1796875" customWidth="1"/>
    <col min="19" max="19" width="26.08984375" customWidth="1"/>
    <col min="20" max="20" width="26" customWidth="1"/>
  </cols>
  <sheetData>
    <row r="1" spans="1:11" ht="27.5" customHeight="1" x14ac:dyDescent="0.35">
      <c r="A1" s="1" t="s">
        <v>0</v>
      </c>
      <c r="B1" s="2"/>
      <c r="C1" s="2" t="s">
        <v>1</v>
      </c>
      <c r="D1" s="3" t="s">
        <v>2</v>
      </c>
      <c r="E1" s="2"/>
      <c r="F1" s="71" t="s">
        <v>99</v>
      </c>
      <c r="G1" s="72"/>
      <c r="H1" s="72"/>
      <c r="I1" s="72"/>
      <c r="J1" s="72"/>
      <c r="K1" s="73"/>
    </row>
    <row r="2" spans="1:11" ht="15" thickBot="1" x14ac:dyDescent="0.4">
      <c r="A2" s="4" t="s">
        <v>4</v>
      </c>
      <c r="B2" s="5"/>
      <c r="C2" s="5" t="s">
        <v>5</v>
      </c>
      <c r="D2" s="6" t="s">
        <v>6</v>
      </c>
      <c r="E2" s="58"/>
      <c r="F2" s="59"/>
      <c r="G2" s="6" t="s">
        <v>7</v>
      </c>
      <c r="H2" s="58">
        <v>1</v>
      </c>
      <c r="I2" s="74"/>
      <c r="J2" s="74"/>
      <c r="K2" s="75"/>
    </row>
    <row r="4" spans="1:11" x14ac:dyDescent="0.35">
      <c r="A4" s="7" t="s">
        <v>8</v>
      </c>
    </row>
    <row r="5" spans="1:11" ht="15" thickBot="1" x14ac:dyDescent="0.4"/>
    <row r="6" spans="1:11" ht="15" thickBot="1" x14ac:dyDescent="0.4">
      <c r="A6" s="8" t="s">
        <v>9</v>
      </c>
      <c r="B6" s="9"/>
      <c r="C6" s="10" t="s">
        <v>5</v>
      </c>
      <c r="D6" s="11" t="s">
        <v>10</v>
      </c>
      <c r="E6" s="56">
        <v>46056</v>
      </c>
      <c r="F6" s="57"/>
      <c r="G6" s="11" t="s">
        <v>11</v>
      </c>
      <c r="H6" s="76" t="s">
        <v>98</v>
      </c>
      <c r="I6" s="77"/>
      <c r="J6" s="77"/>
      <c r="K6" s="78"/>
    </row>
    <row r="7" spans="1:11" ht="15" thickBot="1" x14ac:dyDescent="0.4"/>
    <row r="8" spans="1:11" x14ac:dyDescent="0.35">
      <c r="A8" s="14" t="s">
        <v>13</v>
      </c>
      <c r="B8" s="79" t="s">
        <v>14</v>
      </c>
      <c r="C8" s="80"/>
      <c r="F8" s="14" t="s">
        <v>13</v>
      </c>
      <c r="G8" s="79" t="s">
        <v>15</v>
      </c>
      <c r="H8" s="62"/>
      <c r="I8" s="62"/>
      <c r="J8" s="62"/>
      <c r="K8" s="80"/>
    </row>
    <row r="9" spans="1:11" ht="25.5" customHeight="1" x14ac:dyDescent="0.35">
      <c r="A9" s="15">
        <v>1</v>
      </c>
      <c r="B9" s="50" t="s">
        <v>16</v>
      </c>
      <c r="C9" s="52"/>
      <c r="F9" s="15">
        <v>1</v>
      </c>
      <c r="G9" s="66" t="s">
        <v>92</v>
      </c>
      <c r="H9" s="67"/>
      <c r="I9" s="67"/>
      <c r="J9" s="67"/>
      <c r="K9" s="68"/>
    </row>
    <row r="10" spans="1:11" ht="27.5" customHeight="1" x14ac:dyDescent="0.35">
      <c r="A10" s="15">
        <v>2</v>
      </c>
      <c r="B10" s="50" t="s">
        <v>18</v>
      </c>
      <c r="C10" s="52"/>
      <c r="F10" s="15">
        <v>2</v>
      </c>
      <c r="G10" s="66" t="s">
        <v>93</v>
      </c>
      <c r="H10" s="67"/>
      <c r="I10" s="67"/>
      <c r="J10" s="67"/>
      <c r="K10" s="68"/>
    </row>
    <row r="11" spans="1:11" ht="28" customHeight="1" x14ac:dyDescent="0.35">
      <c r="A11" s="15">
        <v>3</v>
      </c>
      <c r="B11" s="50" t="s">
        <v>20</v>
      </c>
      <c r="C11" s="52"/>
      <c r="F11" s="15">
        <v>3</v>
      </c>
      <c r="G11" s="66" t="s">
        <v>94</v>
      </c>
      <c r="H11" s="67"/>
      <c r="I11" s="67"/>
      <c r="J11" s="67"/>
      <c r="K11" s="68"/>
    </row>
    <row r="12" spans="1:11" ht="35.5" customHeight="1" thickBot="1" x14ac:dyDescent="0.4">
      <c r="A12" s="16">
        <v>4</v>
      </c>
      <c r="B12" s="69" t="s">
        <v>22</v>
      </c>
      <c r="C12" s="70"/>
      <c r="F12" s="16">
        <v>4</v>
      </c>
      <c r="G12" s="53" t="s">
        <v>95</v>
      </c>
      <c r="H12" s="54"/>
      <c r="I12" s="54"/>
      <c r="J12" s="54"/>
      <c r="K12" s="55"/>
    </row>
    <row r="13" spans="1:11" ht="25.5" customHeight="1" thickBot="1" x14ac:dyDescent="0.4">
      <c r="F13" s="16">
        <v>5</v>
      </c>
      <c r="G13" s="53" t="s">
        <v>96</v>
      </c>
      <c r="H13" s="54"/>
      <c r="I13" s="54"/>
      <c r="J13" s="54"/>
      <c r="K13" s="55"/>
    </row>
    <row r="14" spans="1:11" x14ac:dyDescent="0.35">
      <c r="A14" s="17" t="s">
        <v>24</v>
      </c>
    </row>
    <row r="15" spans="1:11" ht="15" thickBot="1" x14ac:dyDescent="0.4"/>
    <row r="16" spans="1:11" ht="46.5" customHeight="1" x14ac:dyDescent="0.35">
      <c r="A16" s="18" t="s">
        <v>25</v>
      </c>
      <c r="B16" s="60" t="s">
        <v>26</v>
      </c>
      <c r="C16" s="61"/>
      <c r="D16" s="36" t="s">
        <v>27</v>
      </c>
      <c r="E16" s="37" t="s">
        <v>28</v>
      </c>
      <c r="F16" s="60" t="s">
        <v>29</v>
      </c>
      <c r="G16" s="62"/>
      <c r="H16" s="63" t="s">
        <v>30</v>
      </c>
      <c r="I16" s="64"/>
      <c r="J16" s="64"/>
      <c r="K16" s="65"/>
    </row>
    <row r="17" spans="1:11" ht="43.5" x14ac:dyDescent="0.35">
      <c r="A17" s="15" t="s">
        <v>31</v>
      </c>
      <c r="B17" s="46" t="s">
        <v>110</v>
      </c>
      <c r="C17" s="47"/>
      <c r="D17" s="24" t="s">
        <v>81</v>
      </c>
      <c r="E17" s="24" t="s">
        <v>82</v>
      </c>
      <c r="F17" s="48" t="s">
        <v>97</v>
      </c>
      <c r="G17" s="49"/>
      <c r="H17" s="50" t="s">
        <v>33</v>
      </c>
      <c r="I17" s="51"/>
      <c r="J17" s="51"/>
      <c r="K17" s="52"/>
    </row>
    <row r="18" spans="1:11" ht="43.5" x14ac:dyDescent="0.35">
      <c r="A18" s="15" t="s">
        <v>34</v>
      </c>
      <c r="B18" s="46" t="s">
        <v>111</v>
      </c>
      <c r="C18" s="47"/>
      <c r="D18" s="24" t="s">
        <v>81</v>
      </c>
      <c r="E18" s="24" t="s">
        <v>83</v>
      </c>
      <c r="F18" s="48" t="s">
        <v>97</v>
      </c>
      <c r="G18" s="49"/>
      <c r="H18" s="50" t="s">
        <v>33</v>
      </c>
      <c r="I18" s="51"/>
      <c r="J18" s="51"/>
      <c r="K18" s="52"/>
    </row>
    <row r="19" spans="1:11" ht="29" customHeight="1" x14ac:dyDescent="0.35">
      <c r="A19" s="15" t="s">
        <v>36</v>
      </c>
      <c r="B19" s="46" t="s">
        <v>112</v>
      </c>
      <c r="C19" s="47"/>
      <c r="D19" s="24" t="s">
        <v>84</v>
      </c>
      <c r="E19" s="24" t="s">
        <v>85</v>
      </c>
      <c r="F19" s="48" t="s">
        <v>97</v>
      </c>
      <c r="G19" s="49"/>
      <c r="H19" s="50" t="s">
        <v>33</v>
      </c>
      <c r="I19" s="51"/>
      <c r="J19" s="51"/>
      <c r="K19" s="52"/>
    </row>
    <row r="20" spans="1:11" ht="26" customHeight="1" x14ac:dyDescent="0.35">
      <c r="A20" s="15" t="s">
        <v>38</v>
      </c>
      <c r="B20" s="46" t="s">
        <v>113</v>
      </c>
      <c r="C20" s="47"/>
      <c r="D20" s="24" t="s">
        <v>86</v>
      </c>
      <c r="E20" s="24" t="s">
        <v>87</v>
      </c>
      <c r="F20" s="48" t="s">
        <v>97</v>
      </c>
      <c r="G20" s="49"/>
      <c r="H20" s="50" t="s">
        <v>33</v>
      </c>
      <c r="I20" s="51"/>
      <c r="J20" s="51"/>
      <c r="K20" s="52"/>
    </row>
    <row r="21" spans="1:11" ht="29" x14ac:dyDescent="0.35">
      <c r="A21" s="15" t="s">
        <v>42</v>
      </c>
      <c r="B21" s="46" t="s">
        <v>114</v>
      </c>
      <c r="C21" s="47"/>
      <c r="D21" s="24" t="s">
        <v>88</v>
      </c>
      <c r="E21" s="24" t="s">
        <v>89</v>
      </c>
      <c r="F21" s="48" t="s">
        <v>97</v>
      </c>
      <c r="G21" s="49"/>
      <c r="H21" s="50" t="s">
        <v>33</v>
      </c>
      <c r="I21" s="51"/>
      <c r="J21" s="51"/>
      <c r="K21" s="52"/>
    </row>
    <row r="22" spans="1:11" ht="29" x14ac:dyDescent="0.35">
      <c r="A22" s="15" t="s">
        <v>48</v>
      </c>
      <c r="B22" s="46" t="s">
        <v>115</v>
      </c>
      <c r="C22" s="47"/>
      <c r="D22" s="24" t="s">
        <v>90</v>
      </c>
      <c r="E22" s="24" t="s">
        <v>91</v>
      </c>
      <c r="F22" s="48" t="s">
        <v>97</v>
      </c>
      <c r="G22" s="49"/>
      <c r="H22" s="50" t="s">
        <v>33</v>
      </c>
      <c r="I22" s="51"/>
      <c r="J22" s="51"/>
      <c r="K22" s="52"/>
    </row>
  </sheetData>
  <mergeCells count="37">
    <mergeCell ref="F1:K1"/>
    <mergeCell ref="H2:K2"/>
    <mergeCell ref="H6:K6"/>
    <mergeCell ref="B8:C8"/>
    <mergeCell ref="G8:K8"/>
    <mergeCell ref="E2:F2"/>
    <mergeCell ref="B20:C20"/>
    <mergeCell ref="F20:G20"/>
    <mergeCell ref="H20:K20"/>
    <mergeCell ref="B21:C21"/>
    <mergeCell ref="F21:G21"/>
    <mergeCell ref="H21:K21"/>
    <mergeCell ref="B18:C18"/>
    <mergeCell ref="F18:G18"/>
    <mergeCell ref="H18:K18"/>
    <mergeCell ref="B19:C19"/>
    <mergeCell ref="F19:G19"/>
    <mergeCell ref="H19:K19"/>
    <mergeCell ref="B16:C16"/>
    <mergeCell ref="F16:G16"/>
    <mergeCell ref="H16:K16"/>
    <mergeCell ref="B22:C22"/>
    <mergeCell ref="F22:G22"/>
    <mergeCell ref="H22:K22"/>
    <mergeCell ref="G13:K13"/>
    <mergeCell ref="E6:F6"/>
    <mergeCell ref="B17:C17"/>
    <mergeCell ref="F17:G17"/>
    <mergeCell ref="H17:K17"/>
    <mergeCell ref="B10:C10"/>
    <mergeCell ref="G10:K10"/>
    <mergeCell ref="B11:C11"/>
    <mergeCell ref="G11:K11"/>
    <mergeCell ref="B12:C12"/>
    <mergeCell ref="G12:K12"/>
    <mergeCell ref="B9:C9"/>
    <mergeCell ref="G9:K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EA3AF-5817-4084-AA17-C15C8D71AEE9}">
  <dimension ref="A1:K23"/>
  <sheetViews>
    <sheetView workbookViewId="0">
      <selection activeCell="E6" sqref="E6:F6"/>
    </sheetView>
  </sheetViews>
  <sheetFormatPr defaultRowHeight="14.5" x14ac:dyDescent="0.35"/>
  <cols>
    <col min="3" max="3" width="33.7265625" customWidth="1"/>
    <col min="4" max="4" width="19.81640625" customWidth="1"/>
    <col min="5" max="5" width="26.6328125" customWidth="1"/>
    <col min="6" max="6" width="14.26953125" customWidth="1"/>
    <col min="16" max="16" width="18.453125" customWidth="1"/>
    <col min="17" max="17" width="21.453125" customWidth="1"/>
    <col min="18" max="18" width="30.1796875" customWidth="1"/>
    <col min="19" max="19" width="26.08984375" customWidth="1"/>
    <col min="20" max="20" width="26" customWidth="1"/>
  </cols>
  <sheetData>
    <row r="1" spans="1:11" ht="27.5" customHeight="1" x14ac:dyDescent="0.35">
      <c r="A1" s="1" t="s">
        <v>0</v>
      </c>
      <c r="B1" s="2"/>
      <c r="C1" s="2" t="s">
        <v>80</v>
      </c>
      <c r="D1" s="3" t="s">
        <v>2</v>
      </c>
      <c r="E1" s="71" t="s">
        <v>125</v>
      </c>
      <c r="F1" s="72"/>
      <c r="G1" s="72"/>
      <c r="H1" s="72"/>
      <c r="I1" s="72"/>
      <c r="J1" s="72"/>
      <c r="K1" s="73"/>
    </row>
    <row r="2" spans="1:11" ht="15" thickBot="1" x14ac:dyDescent="0.4">
      <c r="A2" s="4" t="s">
        <v>4</v>
      </c>
      <c r="B2" s="5"/>
      <c r="C2" s="5" t="s">
        <v>5</v>
      </c>
      <c r="D2" s="6" t="s">
        <v>6</v>
      </c>
      <c r="E2" s="58"/>
      <c r="F2" s="59"/>
      <c r="G2" s="6" t="s">
        <v>7</v>
      </c>
      <c r="H2" s="58">
        <v>1</v>
      </c>
      <c r="I2" s="74"/>
      <c r="J2" s="74"/>
      <c r="K2" s="75"/>
    </row>
    <row r="4" spans="1:11" x14ac:dyDescent="0.35">
      <c r="A4" s="7" t="s">
        <v>8</v>
      </c>
    </row>
    <row r="5" spans="1:11" ht="15" thickBot="1" x14ac:dyDescent="0.4"/>
    <row r="6" spans="1:11" ht="15" thickBot="1" x14ac:dyDescent="0.4">
      <c r="A6" s="8" t="s">
        <v>9</v>
      </c>
      <c r="B6" s="9"/>
      <c r="C6" s="10" t="s">
        <v>5</v>
      </c>
      <c r="D6" s="11" t="s">
        <v>10</v>
      </c>
      <c r="E6" s="56">
        <v>46049</v>
      </c>
      <c r="F6" s="57"/>
      <c r="G6" s="11" t="s">
        <v>11</v>
      </c>
      <c r="H6" s="76" t="s">
        <v>126</v>
      </c>
      <c r="I6" s="77"/>
      <c r="J6" s="77"/>
      <c r="K6" s="78"/>
    </row>
    <row r="7" spans="1:11" ht="15" thickBot="1" x14ac:dyDescent="0.4"/>
    <row r="8" spans="1:11" x14ac:dyDescent="0.35">
      <c r="A8" s="14" t="s">
        <v>13</v>
      </c>
      <c r="B8" s="79" t="s">
        <v>14</v>
      </c>
      <c r="C8" s="80"/>
      <c r="F8" s="14" t="s">
        <v>13</v>
      </c>
      <c r="G8" s="79" t="s">
        <v>15</v>
      </c>
      <c r="H8" s="62"/>
      <c r="I8" s="62"/>
      <c r="J8" s="62"/>
      <c r="K8" s="80"/>
    </row>
    <row r="9" spans="1:11" ht="25.5" customHeight="1" x14ac:dyDescent="0.35">
      <c r="A9" s="15">
        <v>1</v>
      </c>
      <c r="B9" s="50" t="s">
        <v>16</v>
      </c>
      <c r="C9" s="52"/>
      <c r="F9" s="15">
        <v>1</v>
      </c>
      <c r="G9" s="66" t="s">
        <v>120</v>
      </c>
      <c r="H9" s="67"/>
      <c r="I9" s="67"/>
      <c r="J9" s="67"/>
      <c r="K9" s="68"/>
    </row>
    <row r="10" spans="1:11" ht="27.5" customHeight="1" x14ac:dyDescent="0.35">
      <c r="A10" s="15">
        <v>2</v>
      </c>
      <c r="B10" s="50" t="s">
        <v>18</v>
      </c>
      <c r="C10" s="52"/>
      <c r="F10" s="15">
        <v>2</v>
      </c>
      <c r="G10" s="66" t="s">
        <v>121</v>
      </c>
      <c r="H10" s="67"/>
      <c r="I10" s="67"/>
      <c r="J10" s="67"/>
      <c r="K10" s="68"/>
    </row>
    <row r="11" spans="1:11" ht="28" customHeight="1" x14ac:dyDescent="0.35">
      <c r="A11" s="15">
        <v>3</v>
      </c>
      <c r="B11" s="50" t="s">
        <v>20</v>
      </c>
      <c r="C11" s="52"/>
      <c r="F11" s="15">
        <v>3</v>
      </c>
      <c r="G11" s="66" t="s">
        <v>122</v>
      </c>
      <c r="H11" s="67"/>
      <c r="I11" s="67"/>
      <c r="J11" s="67"/>
      <c r="K11" s="68"/>
    </row>
    <row r="12" spans="1:11" ht="35.5" customHeight="1" thickBot="1" x14ac:dyDescent="0.4">
      <c r="A12" s="16">
        <v>4</v>
      </c>
      <c r="B12" s="69" t="s">
        <v>22</v>
      </c>
      <c r="C12" s="70"/>
      <c r="F12" s="16">
        <v>4</v>
      </c>
      <c r="G12" s="53" t="s">
        <v>123</v>
      </c>
      <c r="H12" s="54"/>
      <c r="I12" s="54"/>
      <c r="J12" s="54"/>
      <c r="K12" s="55"/>
    </row>
    <row r="13" spans="1:11" ht="25.5" customHeight="1" thickBot="1" x14ac:dyDescent="0.4">
      <c r="F13" s="16">
        <v>5</v>
      </c>
      <c r="G13" s="53" t="s">
        <v>124</v>
      </c>
      <c r="H13" s="54"/>
      <c r="I13" s="54"/>
      <c r="J13" s="54"/>
      <c r="K13" s="55"/>
    </row>
    <row r="14" spans="1:11" x14ac:dyDescent="0.35">
      <c r="A14" s="17" t="s">
        <v>24</v>
      </c>
    </row>
    <row r="15" spans="1:11" ht="15" thickBot="1" x14ac:dyDescent="0.4"/>
    <row r="16" spans="1:11" ht="46.5" customHeight="1" x14ac:dyDescent="0.35">
      <c r="A16" s="18" t="s">
        <v>25</v>
      </c>
      <c r="B16" s="60" t="s">
        <v>26</v>
      </c>
      <c r="C16" s="61"/>
      <c r="D16" s="36" t="s">
        <v>27</v>
      </c>
      <c r="E16" s="37" t="s">
        <v>28</v>
      </c>
      <c r="F16" s="60" t="s">
        <v>29</v>
      </c>
      <c r="G16" s="62"/>
      <c r="H16" s="63" t="s">
        <v>30</v>
      </c>
      <c r="I16" s="64"/>
      <c r="J16" s="64"/>
      <c r="K16" s="65"/>
    </row>
    <row r="17" spans="1:11" x14ac:dyDescent="0.35">
      <c r="A17" s="15" t="s">
        <v>31</v>
      </c>
      <c r="B17" s="46" t="s">
        <v>100</v>
      </c>
      <c r="C17" s="47"/>
      <c r="D17" s="24" t="s">
        <v>101</v>
      </c>
      <c r="E17" s="23" t="s">
        <v>41</v>
      </c>
      <c r="F17" s="48" t="s">
        <v>97</v>
      </c>
      <c r="G17" s="49"/>
      <c r="H17" s="50" t="s">
        <v>33</v>
      </c>
      <c r="I17" s="51"/>
      <c r="J17" s="51"/>
      <c r="K17" s="52"/>
    </row>
    <row r="18" spans="1:11" x14ac:dyDescent="0.35">
      <c r="A18" s="15" t="s">
        <v>34</v>
      </c>
      <c r="B18" s="46" t="s">
        <v>102</v>
      </c>
      <c r="C18" s="47"/>
      <c r="D18" s="24" t="s">
        <v>101</v>
      </c>
      <c r="E18" s="23" t="s">
        <v>41</v>
      </c>
      <c r="F18" s="48" t="s">
        <v>97</v>
      </c>
      <c r="G18" s="49"/>
      <c r="H18" s="50" t="s">
        <v>33</v>
      </c>
      <c r="I18" s="51"/>
      <c r="J18" s="51"/>
      <c r="K18" s="52"/>
    </row>
    <row r="19" spans="1:11" x14ac:dyDescent="0.35">
      <c r="A19" s="15" t="s">
        <v>36</v>
      </c>
      <c r="B19" s="46" t="s">
        <v>103</v>
      </c>
      <c r="C19" s="47"/>
      <c r="D19" s="24" t="s">
        <v>101</v>
      </c>
      <c r="E19" s="23" t="s">
        <v>41</v>
      </c>
      <c r="F19" s="48" t="s">
        <v>97</v>
      </c>
      <c r="G19" s="49"/>
      <c r="H19" s="50" t="s">
        <v>33</v>
      </c>
      <c r="I19" s="51"/>
      <c r="J19" s="51"/>
      <c r="K19" s="52"/>
    </row>
    <row r="20" spans="1:11" ht="14.5" customHeight="1" x14ac:dyDescent="0.35">
      <c r="A20" s="15" t="s">
        <v>38</v>
      </c>
      <c r="B20" s="46" t="s">
        <v>117</v>
      </c>
      <c r="C20" s="47"/>
      <c r="D20" s="24" t="s">
        <v>104</v>
      </c>
      <c r="E20" s="23" t="s">
        <v>41</v>
      </c>
      <c r="F20" s="48" t="s">
        <v>97</v>
      </c>
      <c r="G20" s="49"/>
      <c r="H20" s="50" t="s">
        <v>33</v>
      </c>
      <c r="I20" s="51"/>
      <c r="J20" s="51"/>
      <c r="K20" s="52"/>
    </row>
    <row r="21" spans="1:11" ht="14.5" customHeight="1" x14ac:dyDescent="0.35">
      <c r="A21" s="15" t="s">
        <v>42</v>
      </c>
      <c r="B21" s="46" t="s">
        <v>116</v>
      </c>
      <c r="C21" s="47"/>
      <c r="D21" s="24" t="s">
        <v>105</v>
      </c>
      <c r="E21" s="23" t="s">
        <v>106</v>
      </c>
      <c r="F21" s="48" t="s">
        <v>97</v>
      </c>
      <c r="G21" s="49"/>
      <c r="H21" s="50" t="s">
        <v>33</v>
      </c>
      <c r="I21" s="51"/>
      <c r="J21" s="51"/>
      <c r="K21" s="52"/>
    </row>
    <row r="22" spans="1:11" x14ac:dyDescent="0.35">
      <c r="A22" s="15" t="s">
        <v>48</v>
      </c>
      <c r="B22" s="46" t="s">
        <v>118</v>
      </c>
      <c r="C22" s="47"/>
      <c r="D22" s="24" t="s">
        <v>107</v>
      </c>
      <c r="E22" s="23" t="s">
        <v>106</v>
      </c>
      <c r="F22" s="48" t="s">
        <v>97</v>
      </c>
      <c r="G22" s="49"/>
      <c r="H22" s="50" t="s">
        <v>33</v>
      </c>
      <c r="I22" s="51"/>
      <c r="J22" s="51"/>
      <c r="K22" s="52"/>
    </row>
    <row r="23" spans="1:11" ht="29" x14ac:dyDescent="0.35">
      <c r="A23" s="15" t="s">
        <v>108</v>
      </c>
      <c r="B23" s="46" t="s">
        <v>119</v>
      </c>
      <c r="C23" s="47"/>
      <c r="D23" s="24" t="s">
        <v>109</v>
      </c>
      <c r="E23" s="23" t="s">
        <v>106</v>
      </c>
      <c r="F23" s="48" t="s">
        <v>97</v>
      </c>
      <c r="G23" s="49"/>
      <c r="H23" s="50" t="s">
        <v>33</v>
      </c>
      <c r="I23" s="51"/>
      <c r="J23" s="51"/>
      <c r="K23" s="52"/>
    </row>
  </sheetData>
  <mergeCells count="40">
    <mergeCell ref="H2:K2"/>
    <mergeCell ref="H6:K6"/>
    <mergeCell ref="B8:C8"/>
    <mergeCell ref="G8:K8"/>
    <mergeCell ref="B9:C9"/>
    <mergeCell ref="G9:K9"/>
    <mergeCell ref="B17:C17"/>
    <mergeCell ref="F17:G17"/>
    <mergeCell ref="H17:K17"/>
    <mergeCell ref="B10:C10"/>
    <mergeCell ref="G10:K10"/>
    <mergeCell ref="B11:C11"/>
    <mergeCell ref="G11:K11"/>
    <mergeCell ref="B12:C12"/>
    <mergeCell ref="G12:K12"/>
    <mergeCell ref="B23:C23"/>
    <mergeCell ref="F23:G23"/>
    <mergeCell ref="H23:K23"/>
    <mergeCell ref="B20:C20"/>
    <mergeCell ref="F20:G20"/>
    <mergeCell ref="H20:K20"/>
    <mergeCell ref="B21:C21"/>
    <mergeCell ref="F21:G21"/>
    <mergeCell ref="H21:K21"/>
    <mergeCell ref="G13:K13"/>
    <mergeCell ref="E1:K1"/>
    <mergeCell ref="E2:F2"/>
    <mergeCell ref="E6:F6"/>
    <mergeCell ref="B22:C22"/>
    <mergeCell ref="F22:G22"/>
    <mergeCell ref="H22:K22"/>
    <mergeCell ref="B18:C18"/>
    <mergeCell ref="F18:G18"/>
    <mergeCell ref="H18:K18"/>
    <mergeCell ref="B19:C19"/>
    <mergeCell ref="F19:G19"/>
    <mergeCell ref="H19:K19"/>
    <mergeCell ref="B16:C16"/>
    <mergeCell ref="F16:G16"/>
    <mergeCell ref="H16:K16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27F94-D726-4984-BED7-51DDED820510}">
  <dimension ref="A1:K21"/>
  <sheetViews>
    <sheetView topLeftCell="A6" workbookViewId="0">
      <selection activeCell="E10" sqref="E10"/>
    </sheetView>
  </sheetViews>
  <sheetFormatPr defaultRowHeight="14.5" x14ac:dyDescent="0.35"/>
  <cols>
    <col min="3" max="3" width="33.7265625" customWidth="1"/>
    <col min="4" max="4" width="30.81640625" customWidth="1"/>
    <col min="5" max="5" width="32.90625" customWidth="1"/>
    <col min="6" max="6" width="14.26953125" customWidth="1"/>
    <col min="16" max="16" width="18.453125" customWidth="1"/>
    <col min="17" max="17" width="21.453125" customWidth="1"/>
    <col min="18" max="18" width="30.1796875" customWidth="1"/>
    <col min="19" max="19" width="26.08984375" customWidth="1"/>
    <col min="20" max="20" width="26" customWidth="1"/>
  </cols>
  <sheetData>
    <row r="1" spans="1:11" ht="27.5" customHeight="1" x14ac:dyDescent="0.35">
      <c r="A1" s="1" t="s">
        <v>0</v>
      </c>
      <c r="B1" s="2"/>
      <c r="C1" s="2" t="s">
        <v>79</v>
      </c>
      <c r="D1" s="3" t="s">
        <v>2</v>
      </c>
      <c r="E1" s="71" t="s">
        <v>146</v>
      </c>
      <c r="F1" s="72"/>
      <c r="G1" s="72"/>
      <c r="H1" s="72"/>
      <c r="I1" s="72"/>
      <c r="J1" s="72"/>
      <c r="K1" s="73"/>
    </row>
    <row r="2" spans="1:11" ht="15" thickBot="1" x14ac:dyDescent="0.4">
      <c r="A2" s="4" t="s">
        <v>4</v>
      </c>
      <c r="B2" s="5"/>
      <c r="C2" s="5" t="s">
        <v>5</v>
      </c>
      <c r="D2" s="6" t="s">
        <v>6</v>
      </c>
      <c r="E2" s="58"/>
      <c r="F2" s="59"/>
      <c r="G2" s="6" t="s">
        <v>7</v>
      </c>
      <c r="H2" s="58">
        <v>1</v>
      </c>
      <c r="I2" s="74"/>
      <c r="J2" s="74"/>
      <c r="K2" s="75"/>
    </row>
    <row r="4" spans="1:11" x14ac:dyDescent="0.35">
      <c r="A4" s="7" t="s">
        <v>8</v>
      </c>
    </row>
    <row r="5" spans="1:11" ht="15" thickBot="1" x14ac:dyDescent="0.4"/>
    <row r="6" spans="1:11" ht="15" thickBot="1" x14ac:dyDescent="0.4">
      <c r="A6" s="8" t="s">
        <v>9</v>
      </c>
      <c r="B6" s="9"/>
      <c r="C6" s="10" t="s">
        <v>5</v>
      </c>
      <c r="D6" s="11" t="s">
        <v>10</v>
      </c>
      <c r="E6" s="12"/>
      <c r="F6" s="13">
        <v>46049</v>
      </c>
      <c r="G6" s="11" t="s">
        <v>11</v>
      </c>
      <c r="H6" s="76" t="s">
        <v>147</v>
      </c>
      <c r="I6" s="77"/>
      <c r="J6" s="77"/>
      <c r="K6" s="78"/>
    </row>
    <row r="7" spans="1:11" ht="15" thickBot="1" x14ac:dyDescent="0.4"/>
    <row r="8" spans="1:11" x14ac:dyDescent="0.35">
      <c r="A8" s="14" t="s">
        <v>13</v>
      </c>
      <c r="B8" s="79" t="s">
        <v>14</v>
      </c>
      <c r="C8" s="80"/>
      <c r="F8" s="14" t="s">
        <v>13</v>
      </c>
      <c r="G8" s="79" t="s">
        <v>15</v>
      </c>
      <c r="H8" s="62"/>
      <c r="I8" s="62"/>
      <c r="J8" s="62"/>
      <c r="K8" s="80"/>
    </row>
    <row r="9" spans="1:11" ht="25.5" customHeight="1" x14ac:dyDescent="0.35">
      <c r="A9" s="15">
        <v>1</v>
      </c>
      <c r="B9" s="50" t="s">
        <v>16</v>
      </c>
      <c r="C9" s="52"/>
      <c r="F9" s="15">
        <v>1</v>
      </c>
      <c r="G9" s="66" t="s">
        <v>142</v>
      </c>
      <c r="H9" s="67"/>
      <c r="I9" s="67"/>
      <c r="J9" s="67"/>
      <c r="K9" s="68"/>
    </row>
    <row r="10" spans="1:11" ht="27.5" customHeight="1" x14ac:dyDescent="0.35">
      <c r="A10" s="15">
        <v>2</v>
      </c>
      <c r="B10" s="50" t="s">
        <v>18</v>
      </c>
      <c r="C10" s="52"/>
      <c r="F10" s="15">
        <v>2</v>
      </c>
      <c r="G10" s="66" t="s">
        <v>143</v>
      </c>
      <c r="H10" s="67"/>
      <c r="I10" s="67"/>
      <c r="J10" s="67"/>
      <c r="K10" s="68"/>
    </row>
    <row r="11" spans="1:11" ht="28" customHeight="1" x14ac:dyDescent="0.35">
      <c r="A11" s="15">
        <v>3</v>
      </c>
      <c r="B11" s="50" t="s">
        <v>20</v>
      </c>
      <c r="C11" s="52"/>
      <c r="F11" s="15">
        <v>3</v>
      </c>
      <c r="G11" s="66" t="s">
        <v>144</v>
      </c>
      <c r="H11" s="67"/>
      <c r="I11" s="67"/>
      <c r="J11" s="67"/>
      <c r="K11" s="68"/>
    </row>
    <row r="12" spans="1:11" ht="35.5" customHeight="1" thickBot="1" x14ac:dyDescent="0.4">
      <c r="A12" s="16">
        <v>4</v>
      </c>
      <c r="B12" s="69" t="s">
        <v>22</v>
      </c>
      <c r="C12" s="70"/>
      <c r="F12" s="16">
        <v>4</v>
      </c>
      <c r="G12" s="53" t="s">
        <v>145</v>
      </c>
      <c r="H12" s="54"/>
      <c r="I12" s="54"/>
      <c r="J12" s="54"/>
      <c r="K12" s="55"/>
    </row>
    <row r="13" spans="1:11" ht="25.5" customHeight="1" x14ac:dyDescent="0.35"/>
    <row r="14" spans="1:11" x14ac:dyDescent="0.35">
      <c r="A14" s="17" t="s">
        <v>24</v>
      </c>
    </row>
    <row r="15" spans="1:11" ht="15" thickBot="1" x14ac:dyDescent="0.4"/>
    <row r="16" spans="1:11" ht="46.5" customHeight="1" x14ac:dyDescent="0.35">
      <c r="A16" s="18" t="s">
        <v>25</v>
      </c>
      <c r="B16" s="60" t="s">
        <v>26</v>
      </c>
      <c r="C16" s="61"/>
      <c r="D16" s="36" t="s">
        <v>27</v>
      </c>
      <c r="E16" s="37" t="s">
        <v>28</v>
      </c>
      <c r="F16" s="60" t="s">
        <v>29</v>
      </c>
      <c r="G16" s="62"/>
      <c r="H16" s="63" t="s">
        <v>30</v>
      </c>
      <c r="I16" s="64"/>
      <c r="J16" s="64"/>
      <c r="K16" s="65"/>
    </row>
    <row r="17" spans="1:11" ht="14.5" customHeight="1" x14ac:dyDescent="0.35">
      <c r="A17" s="15" t="s">
        <v>31</v>
      </c>
      <c r="B17" s="46" t="s">
        <v>127</v>
      </c>
      <c r="C17" s="47"/>
      <c r="D17" s="23" t="s">
        <v>128</v>
      </c>
      <c r="E17" s="23" t="s">
        <v>129</v>
      </c>
      <c r="F17" s="48" t="s">
        <v>138</v>
      </c>
      <c r="G17" s="49"/>
      <c r="H17" s="50" t="s">
        <v>33</v>
      </c>
      <c r="I17" s="51"/>
      <c r="J17" s="51"/>
      <c r="K17" s="52"/>
    </row>
    <row r="18" spans="1:11" ht="14.5" customHeight="1" x14ac:dyDescent="0.35">
      <c r="A18" s="15" t="s">
        <v>34</v>
      </c>
      <c r="B18" s="46" t="s">
        <v>35</v>
      </c>
      <c r="C18" s="47"/>
      <c r="D18" s="23" t="s">
        <v>130</v>
      </c>
      <c r="E18" s="23" t="s">
        <v>131</v>
      </c>
      <c r="F18" s="48" t="s">
        <v>139</v>
      </c>
      <c r="G18" s="49"/>
      <c r="H18" s="50" t="s">
        <v>33</v>
      </c>
      <c r="I18" s="51"/>
      <c r="J18" s="51"/>
      <c r="K18" s="52"/>
    </row>
    <row r="19" spans="1:11" ht="14.5" customHeight="1" x14ac:dyDescent="0.35">
      <c r="A19" s="15" t="s">
        <v>36</v>
      </c>
      <c r="B19" s="46" t="s">
        <v>37</v>
      </c>
      <c r="C19" s="47"/>
      <c r="D19" s="23" t="s">
        <v>132</v>
      </c>
      <c r="E19" s="23" t="s">
        <v>133</v>
      </c>
      <c r="F19" s="48" t="s">
        <v>140</v>
      </c>
      <c r="G19" s="49"/>
      <c r="H19" s="50" t="s">
        <v>33</v>
      </c>
      <c r="I19" s="51"/>
      <c r="J19" s="51"/>
      <c r="K19" s="52"/>
    </row>
    <row r="20" spans="1:11" ht="14.5" customHeight="1" x14ac:dyDescent="0.35">
      <c r="A20" s="15" t="s">
        <v>38</v>
      </c>
      <c r="B20" s="46" t="s">
        <v>39</v>
      </c>
      <c r="C20" s="47"/>
      <c r="D20" s="23" t="s">
        <v>134</v>
      </c>
      <c r="E20" s="23" t="s">
        <v>135</v>
      </c>
      <c r="F20" s="48" t="s">
        <v>140</v>
      </c>
      <c r="G20" s="49"/>
      <c r="H20" s="50" t="s">
        <v>33</v>
      </c>
      <c r="I20" s="51"/>
      <c r="J20" s="51"/>
      <c r="K20" s="52"/>
    </row>
    <row r="21" spans="1:11" ht="14.5" customHeight="1" x14ac:dyDescent="0.35">
      <c r="A21" s="15" t="s">
        <v>42</v>
      </c>
      <c r="B21" s="46" t="s">
        <v>43</v>
      </c>
      <c r="C21" s="47"/>
      <c r="D21" s="23" t="s">
        <v>136</v>
      </c>
      <c r="E21" s="23" t="s">
        <v>137</v>
      </c>
      <c r="F21" s="48" t="s">
        <v>141</v>
      </c>
      <c r="G21" s="49"/>
      <c r="H21" s="50" t="s">
        <v>33</v>
      </c>
      <c r="I21" s="51"/>
      <c r="J21" s="51"/>
      <c r="K21" s="52"/>
    </row>
  </sheetData>
  <mergeCells count="32">
    <mergeCell ref="G12:K12"/>
    <mergeCell ref="H2:K2"/>
    <mergeCell ref="H6:K6"/>
    <mergeCell ref="B8:C8"/>
    <mergeCell ref="G8:K8"/>
    <mergeCell ref="B9:C9"/>
    <mergeCell ref="G9:K9"/>
    <mergeCell ref="B21:C21"/>
    <mergeCell ref="F21:G21"/>
    <mergeCell ref="H21:K21"/>
    <mergeCell ref="B18:C18"/>
    <mergeCell ref="F18:G18"/>
    <mergeCell ref="H18:K18"/>
    <mergeCell ref="B19:C19"/>
    <mergeCell ref="F19:G19"/>
    <mergeCell ref="H19:K19"/>
    <mergeCell ref="E1:K1"/>
    <mergeCell ref="E2:F2"/>
    <mergeCell ref="B20:C20"/>
    <mergeCell ref="F20:G20"/>
    <mergeCell ref="H20:K20"/>
    <mergeCell ref="B16:C16"/>
    <mergeCell ref="F16:G16"/>
    <mergeCell ref="H16:K16"/>
    <mergeCell ref="B17:C17"/>
    <mergeCell ref="F17:G17"/>
    <mergeCell ref="H17:K17"/>
    <mergeCell ref="B10:C10"/>
    <mergeCell ref="G10:K10"/>
    <mergeCell ref="B11:C11"/>
    <mergeCell ref="G11:K11"/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69383-D311-4729-ADD8-3629D380B66C}">
  <dimension ref="A1:R43"/>
  <sheetViews>
    <sheetView tabSelected="1" topLeftCell="A18" zoomScale="85" zoomScaleNormal="85" workbookViewId="0">
      <selection activeCell="H18" sqref="H18"/>
    </sheetView>
  </sheetViews>
  <sheetFormatPr defaultRowHeight="14.5" x14ac:dyDescent="0.35"/>
  <cols>
    <col min="3" max="3" width="33.7265625" customWidth="1"/>
    <col min="4" max="4" width="24.54296875" customWidth="1"/>
    <col min="5" max="5" width="26.6328125" customWidth="1"/>
    <col min="6" max="6" width="14.26953125" customWidth="1"/>
    <col min="7" max="7" width="15.81640625" customWidth="1"/>
    <col min="14" max="14" width="12.6328125" customWidth="1"/>
    <col min="16" max="16" width="18.453125" customWidth="1"/>
    <col min="17" max="17" width="21.453125" customWidth="1"/>
    <col min="18" max="18" width="30.1796875" customWidth="1"/>
    <col min="19" max="19" width="26.08984375" customWidth="1"/>
    <col min="20" max="20" width="26" customWidth="1"/>
  </cols>
  <sheetData>
    <row r="1" spans="1:11" ht="27.5" customHeight="1" x14ac:dyDescent="0.35">
      <c r="A1" s="1" t="s">
        <v>0</v>
      </c>
      <c r="B1" s="2"/>
      <c r="C1" s="2" t="s">
        <v>77</v>
      </c>
      <c r="D1" s="3" t="s">
        <v>2</v>
      </c>
      <c r="E1" s="71" t="s">
        <v>204</v>
      </c>
      <c r="F1" s="72"/>
      <c r="G1" s="72"/>
      <c r="H1" s="72"/>
      <c r="I1" s="72"/>
      <c r="J1" s="72"/>
      <c r="K1" s="73"/>
    </row>
    <row r="2" spans="1:11" ht="15" thickBot="1" x14ac:dyDescent="0.4">
      <c r="A2" s="4" t="s">
        <v>4</v>
      </c>
      <c r="B2" s="5"/>
      <c r="C2" s="5" t="s">
        <v>5</v>
      </c>
      <c r="D2" s="6" t="s">
        <v>6</v>
      </c>
      <c r="E2" s="58"/>
      <c r="F2" s="59"/>
      <c r="G2" s="6" t="s">
        <v>7</v>
      </c>
      <c r="H2" s="58">
        <v>1</v>
      </c>
      <c r="I2" s="74"/>
      <c r="J2" s="74"/>
      <c r="K2" s="75"/>
    </row>
    <row r="4" spans="1:11" x14ac:dyDescent="0.35">
      <c r="A4" s="7" t="s">
        <v>8</v>
      </c>
    </row>
    <row r="5" spans="1:11" ht="15" thickBot="1" x14ac:dyDescent="0.4"/>
    <row r="6" spans="1:11" ht="15" thickBot="1" x14ac:dyDescent="0.4">
      <c r="A6" s="8" t="s">
        <v>9</v>
      </c>
      <c r="B6" s="9"/>
      <c r="C6" s="10" t="s">
        <v>5</v>
      </c>
      <c r="D6" s="11" t="s">
        <v>10</v>
      </c>
      <c r="E6" s="56">
        <v>46049</v>
      </c>
      <c r="F6" s="57"/>
      <c r="G6" s="11" t="s">
        <v>11</v>
      </c>
      <c r="H6" s="76" t="s">
        <v>205</v>
      </c>
      <c r="I6" s="77"/>
      <c r="J6" s="77"/>
      <c r="K6" s="78"/>
    </row>
    <row r="7" spans="1:11" ht="15" thickBot="1" x14ac:dyDescent="0.4"/>
    <row r="8" spans="1:11" x14ac:dyDescent="0.35">
      <c r="A8" s="14" t="s">
        <v>13</v>
      </c>
      <c r="B8" s="79" t="s">
        <v>14</v>
      </c>
      <c r="C8" s="80"/>
      <c r="F8" s="14" t="s">
        <v>13</v>
      </c>
      <c r="G8" s="79" t="s">
        <v>15</v>
      </c>
      <c r="H8" s="62"/>
      <c r="I8" s="62"/>
      <c r="J8" s="62"/>
      <c r="K8" s="80"/>
    </row>
    <row r="9" spans="1:11" ht="25.5" customHeight="1" x14ac:dyDescent="0.35">
      <c r="A9" s="15">
        <v>1</v>
      </c>
      <c r="B9" s="50" t="s">
        <v>16</v>
      </c>
      <c r="C9" s="52"/>
      <c r="F9" s="15">
        <v>1</v>
      </c>
      <c r="G9" s="66" t="s">
        <v>17</v>
      </c>
      <c r="H9" s="67"/>
      <c r="I9" s="67"/>
      <c r="J9" s="67"/>
      <c r="K9" s="68"/>
    </row>
    <row r="10" spans="1:11" ht="27.5" customHeight="1" x14ac:dyDescent="0.35">
      <c r="A10" s="15">
        <v>2</v>
      </c>
      <c r="B10" s="50" t="s">
        <v>18</v>
      </c>
      <c r="C10" s="52"/>
      <c r="F10" s="15">
        <v>2</v>
      </c>
      <c r="G10" s="66" t="s">
        <v>19</v>
      </c>
      <c r="H10" s="67"/>
      <c r="I10" s="67"/>
      <c r="J10" s="67"/>
      <c r="K10" s="68"/>
    </row>
    <row r="11" spans="1:11" ht="28" customHeight="1" x14ac:dyDescent="0.35">
      <c r="A11" s="15">
        <v>3</v>
      </c>
      <c r="B11" s="50" t="s">
        <v>20</v>
      </c>
      <c r="C11" s="52"/>
      <c r="F11" s="15">
        <v>3</v>
      </c>
      <c r="G11" s="66" t="s">
        <v>21</v>
      </c>
      <c r="H11" s="67"/>
      <c r="I11" s="67"/>
      <c r="J11" s="67"/>
      <c r="K11" s="68"/>
    </row>
    <row r="12" spans="1:11" ht="35.5" customHeight="1" thickBot="1" x14ac:dyDescent="0.4">
      <c r="A12" s="16">
        <v>4</v>
      </c>
      <c r="B12" s="69" t="s">
        <v>22</v>
      </c>
      <c r="C12" s="70"/>
      <c r="F12" s="16">
        <v>4</v>
      </c>
      <c r="G12" s="53" t="s">
        <v>23</v>
      </c>
      <c r="H12" s="54"/>
      <c r="I12" s="54"/>
      <c r="J12" s="54"/>
      <c r="K12" s="55"/>
    </row>
    <row r="13" spans="1:11" ht="25.5" customHeight="1" x14ac:dyDescent="0.35">
      <c r="A13" t="s">
        <v>218</v>
      </c>
      <c r="D13" t="s">
        <v>219</v>
      </c>
      <c r="F13" t="s">
        <v>220</v>
      </c>
    </row>
    <row r="14" spans="1:11" ht="25.5" customHeight="1" x14ac:dyDescent="0.35">
      <c r="A14" t="s">
        <v>206</v>
      </c>
      <c r="D14" t="s">
        <v>216</v>
      </c>
      <c r="F14" t="s">
        <v>226</v>
      </c>
    </row>
    <row r="15" spans="1:11" ht="25.5" customHeight="1" x14ac:dyDescent="0.35">
      <c r="A15" t="s">
        <v>207</v>
      </c>
      <c r="D15" t="s">
        <v>217</v>
      </c>
      <c r="F15" t="s">
        <v>227</v>
      </c>
    </row>
    <row r="16" spans="1:11" ht="25.5" customHeight="1" x14ac:dyDescent="0.35">
      <c r="A16" s="44" t="s">
        <v>208</v>
      </c>
      <c r="D16" s="44" t="s">
        <v>208</v>
      </c>
      <c r="F16" s="44" t="s">
        <v>208</v>
      </c>
    </row>
    <row r="17" spans="1:18" ht="25.5" customHeight="1" x14ac:dyDescent="0.35">
      <c r="A17" s="45" t="s">
        <v>209</v>
      </c>
      <c r="D17" t="s">
        <v>221</v>
      </c>
      <c r="F17" t="s">
        <v>243</v>
      </c>
    </row>
    <row r="18" spans="1:18" ht="25.5" customHeight="1" x14ac:dyDescent="0.35">
      <c r="A18" s="45" t="s">
        <v>210</v>
      </c>
      <c r="D18" t="s">
        <v>210</v>
      </c>
      <c r="F18" t="s">
        <v>244</v>
      </c>
      <c r="N18" s="45"/>
    </row>
    <row r="19" spans="1:18" ht="25.5" customHeight="1" x14ac:dyDescent="0.35">
      <c r="A19" s="45" t="s">
        <v>211</v>
      </c>
      <c r="D19" t="s">
        <v>211</v>
      </c>
      <c r="F19" t="s">
        <v>245</v>
      </c>
    </row>
    <row r="20" spans="1:18" ht="25.5" customHeight="1" x14ac:dyDescent="0.35">
      <c r="A20" s="45" t="s">
        <v>212</v>
      </c>
      <c r="D20" t="s">
        <v>222</v>
      </c>
      <c r="F20" t="s">
        <v>246</v>
      </c>
    </row>
    <row r="21" spans="1:18" ht="25.5" customHeight="1" x14ac:dyDescent="0.35">
      <c r="A21" s="45" t="s">
        <v>213</v>
      </c>
      <c r="D21" t="s">
        <v>223</v>
      </c>
      <c r="F21" t="s">
        <v>247</v>
      </c>
    </row>
    <row r="22" spans="1:18" ht="25.5" customHeight="1" x14ac:dyDescent="0.35">
      <c r="A22" s="45" t="s">
        <v>214</v>
      </c>
      <c r="D22" t="s">
        <v>224</v>
      </c>
      <c r="F22" t="s">
        <v>248</v>
      </c>
    </row>
    <row r="23" spans="1:18" ht="25.5" customHeight="1" x14ac:dyDescent="0.35">
      <c r="A23" s="45" t="s">
        <v>215</v>
      </c>
      <c r="D23" t="s">
        <v>225</v>
      </c>
    </row>
    <row r="24" spans="1:18" ht="25.5" customHeight="1" x14ac:dyDescent="0.35">
      <c r="A24" s="45"/>
    </row>
    <row r="25" spans="1:18" x14ac:dyDescent="0.35">
      <c r="A25" s="17" t="s">
        <v>24</v>
      </c>
    </row>
    <row r="26" spans="1:18" ht="15" thickBot="1" x14ac:dyDescent="0.4"/>
    <row r="27" spans="1:18" x14ac:dyDescent="0.35">
      <c r="A27" s="18" t="s">
        <v>25</v>
      </c>
      <c r="B27" s="84" t="s">
        <v>26</v>
      </c>
      <c r="C27" s="85"/>
      <c r="D27" s="36" t="s">
        <v>27</v>
      </c>
      <c r="E27" s="37" t="s">
        <v>28</v>
      </c>
      <c r="F27" s="60" t="s">
        <v>29</v>
      </c>
      <c r="G27" s="62"/>
      <c r="H27" s="63" t="s">
        <v>30</v>
      </c>
      <c r="I27" s="64"/>
      <c r="J27" s="64"/>
      <c r="K27" s="65"/>
      <c r="O27" s="38"/>
      <c r="P27" s="38"/>
      <c r="Q27" s="38"/>
      <c r="R27" s="38"/>
    </row>
    <row r="28" spans="1:18" ht="62" customHeight="1" x14ac:dyDescent="0.35">
      <c r="A28" s="42" t="s">
        <v>31</v>
      </c>
      <c r="B28" s="83" t="s">
        <v>197</v>
      </c>
      <c r="C28" s="83"/>
      <c r="D28" s="41" t="s">
        <v>149</v>
      </c>
      <c r="E28" s="41" t="s">
        <v>150</v>
      </c>
      <c r="F28" s="48" t="s">
        <v>228</v>
      </c>
      <c r="G28" s="49"/>
      <c r="H28" s="50" t="s">
        <v>33</v>
      </c>
      <c r="I28" s="51"/>
      <c r="J28" s="51"/>
      <c r="K28" s="52"/>
      <c r="M28" s="39"/>
      <c r="O28" s="39"/>
      <c r="P28" s="39"/>
      <c r="Q28" s="39"/>
      <c r="R28" s="39"/>
    </row>
    <row r="29" spans="1:18" ht="58" customHeight="1" x14ac:dyDescent="0.35">
      <c r="A29" s="42" t="s">
        <v>34</v>
      </c>
      <c r="B29" s="83" t="s">
        <v>198</v>
      </c>
      <c r="C29" s="83"/>
      <c r="D29" s="41" t="s">
        <v>151</v>
      </c>
      <c r="E29" s="41" t="s">
        <v>152</v>
      </c>
      <c r="F29" s="48" t="s">
        <v>229</v>
      </c>
      <c r="G29" s="49"/>
      <c r="H29" s="50" t="s">
        <v>33</v>
      </c>
      <c r="I29" s="51"/>
      <c r="J29" s="51"/>
      <c r="K29" s="52"/>
      <c r="M29" s="39"/>
      <c r="O29" s="39"/>
      <c r="P29" s="39"/>
      <c r="Q29" s="39"/>
      <c r="R29" s="39"/>
    </row>
    <row r="30" spans="1:18" ht="58" customHeight="1" x14ac:dyDescent="0.35">
      <c r="A30" s="42" t="s">
        <v>36</v>
      </c>
      <c r="B30" s="83" t="s">
        <v>198</v>
      </c>
      <c r="C30" s="83"/>
      <c r="D30" s="41" t="s">
        <v>153</v>
      </c>
      <c r="E30" s="41" t="s">
        <v>154</v>
      </c>
      <c r="F30" s="48" t="s">
        <v>229</v>
      </c>
      <c r="G30" s="49"/>
      <c r="H30" s="50" t="s">
        <v>33</v>
      </c>
      <c r="I30" s="51"/>
      <c r="J30" s="51"/>
      <c r="K30" s="52"/>
      <c r="M30" s="39"/>
      <c r="O30" s="39"/>
      <c r="P30" s="39"/>
      <c r="Q30" s="39"/>
      <c r="R30" s="39"/>
    </row>
    <row r="31" spans="1:18" ht="58" customHeight="1" x14ac:dyDescent="0.35">
      <c r="A31" s="42" t="s">
        <v>38</v>
      </c>
      <c r="B31" s="83" t="s">
        <v>155</v>
      </c>
      <c r="C31" s="83"/>
      <c r="D31" s="41" t="s">
        <v>156</v>
      </c>
      <c r="E31" s="41" t="s">
        <v>157</v>
      </c>
      <c r="F31" s="48" t="s">
        <v>230</v>
      </c>
      <c r="G31" s="49"/>
      <c r="H31" s="50" t="s">
        <v>33</v>
      </c>
      <c r="I31" s="51"/>
      <c r="J31" s="51"/>
      <c r="K31" s="52"/>
      <c r="M31" s="39"/>
      <c r="O31" s="39"/>
      <c r="P31" s="39"/>
      <c r="Q31" s="39"/>
      <c r="R31" s="39"/>
    </row>
    <row r="32" spans="1:18" ht="72.5" customHeight="1" x14ac:dyDescent="0.35">
      <c r="A32" s="42" t="s">
        <v>42</v>
      </c>
      <c r="B32" s="83" t="s">
        <v>158</v>
      </c>
      <c r="C32" s="83"/>
      <c r="D32" s="41" t="s">
        <v>159</v>
      </c>
      <c r="E32" s="41" t="s">
        <v>160</v>
      </c>
      <c r="F32" s="48" t="s">
        <v>231</v>
      </c>
      <c r="G32" s="49"/>
      <c r="H32" s="50" t="s">
        <v>47</v>
      </c>
      <c r="I32" s="51"/>
      <c r="J32" s="51"/>
      <c r="K32" s="52"/>
      <c r="M32" s="39"/>
      <c r="O32" s="39"/>
      <c r="P32" s="39"/>
      <c r="Q32" s="39"/>
      <c r="R32" s="39"/>
    </row>
    <row r="33" spans="1:18" ht="79" customHeight="1" x14ac:dyDescent="0.35">
      <c r="A33" s="15" t="s">
        <v>48</v>
      </c>
      <c r="B33" s="81" t="s">
        <v>161</v>
      </c>
      <c r="C33" s="82"/>
      <c r="D33" s="43" t="s">
        <v>162</v>
      </c>
      <c r="E33" s="43" t="s">
        <v>163</v>
      </c>
      <c r="F33" s="48" t="s">
        <v>232</v>
      </c>
      <c r="G33" s="49"/>
      <c r="H33" s="50" t="s">
        <v>33</v>
      </c>
      <c r="I33" s="51"/>
      <c r="J33" s="51"/>
      <c r="K33" s="52"/>
      <c r="M33" s="39"/>
      <c r="N33" s="40"/>
      <c r="O33" s="39"/>
      <c r="P33" s="39"/>
      <c r="Q33" s="39"/>
      <c r="R33" s="39"/>
    </row>
    <row r="34" spans="1:18" ht="64" customHeight="1" x14ac:dyDescent="0.35">
      <c r="A34" s="15" t="s">
        <v>108</v>
      </c>
      <c r="B34" s="46" t="s">
        <v>199</v>
      </c>
      <c r="C34" s="47"/>
      <c r="D34" s="41" t="s">
        <v>164</v>
      </c>
      <c r="E34" s="41" t="s">
        <v>165</v>
      </c>
      <c r="F34" s="48" t="s">
        <v>233</v>
      </c>
      <c r="G34" s="49"/>
      <c r="H34" s="50" t="s">
        <v>33</v>
      </c>
      <c r="I34" s="51"/>
      <c r="J34" s="51"/>
      <c r="K34" s="52"/>
      <c r="M34" s="39"/>
      <c r="N34" s="39"/>
      <c r="O34" s="39"/>
      <c r="P34" s="39"/>
      <c r="Q34" s="39"/>
      <c r="R34" s="39"/>
    </row>
    <row r="35" spans="1:18" ht="42.5" customHeight="1" x14ac:dyDescent="0.35">
      <c r="A35" s="15" t="s">
        <v>166</v>
      </c>
      <c r="B35" s="46" t="s">
        <v>167</v>
      </c>
      <c r="C35" s="47"/>
      <c r="D35" s="41" t="s">
        <v>168</v>
      </c>
      <c r="E35" s="41" t="s">
        <v>169</v>
      </c>
      <c r="F35" s="116" t="s">
        <v>234</v>
      </c>
      <c r="G35" s="48"/>
      <c r="H35" s="50" t="s">
        <v>33</v>
      </c>
      <c r="I35" s="51"/>
      <c r="J35" s="51"/>
      <c r="K35" s="52"/>
      <c r="M35" s="39"/>
      <c r="N35" s="40"/>
      <c r="O35" s="39"/>
      <c r="P35" s="39"/>
      <c r="Q35" s="39"/>
      <c r="R35" s="39"/>
    </row>
    <row r="36" spans="1:18" ht="43.5" x14ac:dyDescent="0.35">
      <c r="A36" s="15" t="s">
        <v>170</v>
      </c>
      <c r="B36" s="46" t="s">
        <v>171</v>
      </c>
      <c r="C36" s="47"/>
      <c r="D36" s="41" t="s">
        <v>172</v>
      </c>
      <c r="E36" s="41" t="s">
        <v>169</v>
      </c>
      <c r="F36" s="48" t="s">
        <v>235</v>
      </c>
      <c r="G36" s="49"/>
      <c r="H36" s="50" t="s">
        <v>33</v>
      </c>
      <c r="I36" s="51"/>
      <c r="J36" s="51"/>
      <c r="K36" s="52"/>
      <c r="M36" s="39"/>
      <c r="N36" s="40"/>
      <c r="O36" s="39"/>
      <c r="P36" s="39"/>
      <c r="Q36" s="39"/>
      <c r="R36" s="39"/>
    </row>
    <row r="37" spans="1:18" ht="78" customHeight="1" x14ac:dyDescent="0.35">
      <c r="A37" s="15" t="s">
        <v>173</v>
      </c>
      <c r="B37" s="46" t="s">
        <v>174</v>
      </c>
      <c r="C37" s="47"/>
      <c r="D37" s="41" t="s">
        <v>175</v>
      </c>
      <c r="E37" s="41" t="s">
        <v>176</v>
      </c>
      <c r="F37" s="48" t="s">
        <v>236</v>
      </c>
      <c r="G37" s="49"/>
      <c r="H37" s="50" t="s">
        <v>33</v>
      </c>
      <c r="I37" s="51"/>
      <c r="J37" s="51"/>
      <c r="K37" s="52"/>
      <c r="M37" s="39"/>
      <c r="N37" s="40"/>
      <c r="O37" s="39"/>
      <c r="P37" s="39"/>
      <c r="Q37" s="39"/>
      <c r="R37" s="39"/>
    </row>
    <row r="38" spans="1:18" ht="90" customHeight="1" x14ac:dyDescent="0.35">
      <c r="A38" s="15" t="s">
        <v>177</v>
      </c>
      <c r="B38" s="46" t="s">
        <v>200</v>
      </c>
      <c r="C38" s="47"/>
      <c r="D38" s="41" t="s">
        <v>178</v>
      </c>
      <c r="E38" s="41" t="s">
        <v>179</v>
      </c>
      <c r="F38" s="48" t="s">
        <v>237</v>
      </c>
      <c r="G38" s="49"/>
      <c r="H38" s="50" t="s">
        <v>33</v>
      </c>
      <c r="I38" s="51"/>
      <c r="J38" s="51"/>
      <c r="K38" s="52"/>
      <c r="M38" s="39"/>
      <c r="N38" s="39"/>
      <c r="O38" s="39"/>
      <c r="P38" s="39"/>
      <c r="Q38" s="39"/>
      <c r="R38" s="39"/>
    </row>
    <row r="39" spans="1:18" ht="43.5" x14ac:dyDescent="0.35">
      <c r="A39" s="15" t="s">
        <v>180</v>
      </c>
      <c r="B39" s="46" t="s">
        <v>201</v>
      </c>
      <c r="C39" s="47"/>
      <c r="D39" s="41" t="s">
        <v>181</v>
      </c>
      <c r="E39" s="41" t="s">
        <v>182</v>
      </c>
      <c r="F39" s="48" t="s">
        <v>238</v>
      </c>
      <c r="G39" s="49"/>
      <c r="H39" s="50" t="s">
        <v>33</v>
      </c>
      <c r="I39" s="51"/>
      <c r="J39" s="51"/>
      <c r="K39" s="52"/>
      <c r="M39" s="39"/>
      <c r="N39" s="39"/>
      <c r="O39" s="39"/>
      <c r="P39" s="39"/>
      <c r="Q39" s="39"/>
      <c r="R39" s="39"/>
    </row>
    <row r="40" spans="1:18" ht="43.5" x14ac:dyDescent="0.35">
      <c r="A40" s="15" t="s">
        <v>183</v>
      </c>
      <c r="B40" s="46" t="s">
        <v>184</v>
      </c>
      <c r="C40" s="47"/>
      <c r="D40" s="41" t="s">
        <v>185</v>
      </c>
      <c r="E40" s="41" t="s">
        <v>186</v>
      </c>
      <c r="F40" s="48" t="s">
        <v>239</v>
      </c>
      <c r="G40" s="49"/>
      <c r="H40" s="50" t="s">
        <v>33</v>
      </c>
      <c r="I40" s="51"/>
      <c r="J40" s="51"/>
      <c r="K40" s="52"/>
      <c r="M40" s="39"/>
      <c r="N40" s="40"/>
      <c r="O40" s="39"/>
      <c r="P40" s="39"/>
      <c r="Q40" s="39"/>
      <c r="R40" s="39"/>
    </row>
    <row r="41" spans="1:18" ht="43.5" x14ac:dyDescent="0.35">
      <c r="A41" s="15" t="s">
        <v>187</v>
      </c>
      <c r="B41" s="46" t="s">
        <v>188</v>
      </c>
      <c r="C41" s="47"/>
      <c r="D41" s="41" t="s">
        <v>189</v>
      </c>
      <c r="E41" s="41" t="s">
        <v>190</v>
      </c>
      <c r="F41" s="48" t="s">
        <v>240</v>
      </c>
      <c r="G41" s="49"/>
      <c r="H41" s="50" t="s">
        <v>33</v>
      </c>
      <c r="I41" s="51"/>
      <c r="J41" s="51"/>
      <c r="K41" s="52"/>
      <c r="M41" s="39"/>
      <c r="N41" s="40"/>
      <c r="O41" s="39"/>
      <c r="P41" s="39"/>
      <c r="Q41" s="39"/>
      <c r="R41" s="39"/>
    </row>
    <row r="42" spans="1:18" ht="43.5" x14ac:dyDescent="0.35">
      <c r="A42" s="15" t="s">
        <v>191</v>
      </c>
      <c r="B42" s="46" t="s">
        <v>202</v>
      </c>
      <c r="C42" s="47"/>
      <c r="D42" s="41" t="s">
        <v>192</v>
      </c>
      <c r="E42" s="41" t="s">
        <v>193</v>
      </c>
      <c r="F42" s="48" t="s">
        <v>241</v>
      </c>
      <c r="G42" s="49"/>
      <c r="H42" s="50" t="s">
        <v>33</v>
      </c>
      <c r="I42" s="51"/>
      <c r="J42" s="51"/>
      <c r="K42" s="52"/>
      <c r="M42" s="39"/>
      <c r="N42" s="39"/>
      <c r="O42" s="39"/>
      <c r="P42" s="39"/>
      <c r="Q42" s="39"/>
      <c r="R42" s="39"/>
    </row>
    <row r="43" spans="1:18" ht="43.5" x14ac:dyDescent="0.35">
      <c r="A43" s="15" t="s">
        <v>194</v>
      </c>
      <c r="B43" s="46" t="s">
        <v>203</v>
      </c>
      <c r="C43" s="47"/>
      <c r="D43" s="41" t="s">
        <v>195</v>
      </c>
      <c r="E43" s="41" t="s">
        <v>196</v>
      </c>
      <c r="F43" s="48" t="s">
        <v>242</v>
      </c>
      <c r="G43" s="49"/>
      <c r="H43" s="50" t="s">
        <v>33</v>
      </c>
      <c r="I43" s="51"/>
      <c r="J43" s="51"/>
      <c r="K43" s="52"/>
      <c r="M43" s="39"/>
      <c r="N43" s="39"/>
      <c r="O43" s="39"/>
      <c r="P43" s="39"/>
      <c r="Q43" s="39"/>
      <c r="R43" s="39"/>
    </row>
  </sheetData>
  <mergeCells count="66">
    <mergeCell ref="B8:C8"/>
    <mergeCell ref="G8:K8"/>
    <mergeCell ref="B9:C9"/>
    <mergeCell ref="G9:K9"/>
    <mergeCell ref="E1:K1"/>
    <mergeCell ref="B10:C10"/>
    <mergeCell ref="G10:K10"/>
    <mergeCell ref="B11:C11"/>
    <mergeCell ref="G11:K11"/>
    <mergeCell ref="B12:C12"/>
    <mergeCell ref="G12:K12"/>
    <mergeCell ref="B27:C27"/>
    <mergeCell ref="F27:G27"/>
    <mergeCell ref="H27:K27"/>
    <mergeCell ref="B28:C28"/>
    <mergeCell ref="F28:G28"/>
    <mergeCell ref="H28:K28"/>
    <mergeCell ref="B29:C29"/>
    <mergeCell ref="F29:G29"/>
    <mergeCell ref="H29:K29"/>
    <mergeCell ref="B30:C30"/>
    <mergeCell ref="F30:G30"/>
    <mergeCell ref="H30:K30"/>
    <mergeCell ref="B36:C36"/>
    <mergeCell ref="B31:C31"/>
    <mergeCell ref="F31:G31"/>
    <mergeCell ref="H31:K31"/>
    <mergeCell ref="B32:C32"/>
    <mergeCell ref="F32:G32"/>
    <mergeCell ref="H32:K32"/>
    <mergeCell ref="B33:C33"/>
    <mergeCell ref="F33:G33"/>
    <mergeCell ref="H33:K33"/>
    <mergeCell ref="B34:C34"/>
    <mergeCell ref="B35:C35"/>
    <mergeCell ref="B43:C43"/>
    <mergeCell ref="F34:G34"/>
    <mergeCell ref="H34:K34"/>
    <mergeCell ref="F35:G35"/>
    <mergeCell ref="H35:K35"/>
    <mergeCell ref="F36:G36"/>
    <mergeCell ref="H36:K36"/>
    <mergeCell ref="F37:G37"/>
    <mergeCell ref="H37:K37"/>
    <mergeCell ref="F38:G38"/>
    <mergeCell ref="B37:C37"/>
    <mergeCell ref="B38:C38"/>
    <mergeCell ref="B39:C39"/>
    <mergeCell ref="B40:C40"/>
    <mergeCell ref="B41:C41"/>
    <mergeCell ref="B42:C42"/>
    <mergeCell ref="E2:F2"/>
    <mergeCell ref="H38:K38"/>
    <mergeCell ref="F39:G39"/>
    <mergeCell ref="H39:K39"/>
    <mergeCell ref="F40:G40"/>
    <mergeCell ref="H40:K40"/>
    <mergeCell ref="H2:K2"/>
    <mergeCell ref="H6:K6"/>
    <mergeCell ref="F42:G42"/>
    <mergeCell ref="H42:K42"/>
    <mergeCell ref="F43:G43"/>
    <mergeCell ref="H43:K43"/>
    <mergeCell ref="E6:F6"/>
    <mergeCell ref="F41:G41"/>
    <mergeCell ref="H41:K41"/>
  </mergeCells>
  <phoneticPr fontId="1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33AF-7C4B-48A6-BF80-D32117E3D8DC}">
  <dimension ref="A1:K22"/>
  <sheetViews>
    <sheetView topLeftCell="A16" workbookViewId="0">
      <selection activeCell="D12" sqref="A1:XFD1048576"/>
    </sheetView>
  </sheetViews>
  <sheetFormatPr defaultRowHeight="14.5" x14ac:dyDescent="0.35"/>
  <cols>
    <col min="3" max="3" width="33.7265625" customWidth="1"/>
    <col min="4" max="4" width="14.1796875" customWidth="1"/>
    <col min="5" max="5" width="26.6328125" customWidth="1"/>
    <col min="6" max="6" width="14.26953125" customWidth="1"/>
    <col min="16" max="16" width="18.453125" customWidth="1"/>
    <col min="17" max="17" width="21.453125" customWidth="1"/>
    <col min="18" max="18" width="30.1796875" customWidth="1"/>
    <col min="19" max="19" width="26.08984375" customWidth="1"/>
    <col min="20" max="20" width="26" customWidth="1"/>
  </cols>
  <sheetData>
    <row r="1" spans="1:11" ht="27.5" customHeight="1" x14ac:dyDescent="0.35">
      <c r="A1" s="1" t="s">
        <v>0</v>
      </c>
      <c r="B1" s="2"/>
      <c r="C1" s="2" t="s">
        <v>78</v>
      </c>
      <c r="D1" s="3" t="s">
        <v>2</v>
      </c>
      <c r="E1" s="2"/>
      <c r="F1" s="71" t="s">
        <v>3</v>
      </c>
      <c r="G1" s="72"/>
      <c r="H1" s="72"/>
      <c r="I1" s="72"/>
      <c r="J1" s="72"/>
      <c r="K1" s="73"/>
    </row>
    <row r="2" spans="1:11" ht="15" thickBot="1" x14ac:dyDescent="0.4">
      <c r="A2" s="4" t="s">
        <v>4</v>
      </c>
      <c r="B2" s="5"/>
      <c r="C2" s="5" t="s">
        <v>5</v>
      </c>
      <c r="D2" s="6" t="s">
        <v>6</v>
      </c>
      <c r="E2" s="5"/>
      <c r="F2" s="5"/>
      <c r="G2" s="6" t="s">
        <v>7</v>
      </c>
      <c r="H2" s="58">
        <v>1</v>
      </c>
      <c r="I2" s="74"/>
      <c r="J2" s="74"/>
      <c r="K2" s="75"/>
    </row>
    <row r="4" spans="1:11" x14ac:dyDescent="0.35">
      <c r="A4" s="7" t="s">
        <v>8</v>
      </c>
    </row>
    <row r="5" spans="1:11" ht="15" thickBot="1" x14ac:dyDescent="0.4"/>
    <row r="6" spans="1:11" ht="15" thickBot="1" x14ac:dyDescent="0.4">
      <c r="A6" s="8" t="s">
        <v>9</v>
      </c>
      <c r="B6" s="9"/>
      <c r="C6" s="10" t="s">
        <v>5</v>
      </c>
      <c r="D6" s="11" t="s">
        <v>10</v>
      </c>
      <c r="E6" s="12"/>
      <c r="F6" s="13">
        <v>46049</v>
      </c>
      <c r="G6" s="11" t="s">
        <v>11</v>
      </c>
      <c r="H6" s="76" t="s">
        <v>12</v>
      </c>
      <c r="I6" s="77"/>
      <c r="J6" s="77"/>
      <c r="K6" s="78"/>
    </row>
    <row r="7" spans="1:11" ht="15" thickBot="1" x14ac:dyDescent="0.4"/>
    <row r="8" spans="1:11" x14ac:dyDescent="0.35">
      <c r="A8" s="14" t="s">
        <v>13</v>
      </c>
      <c r="B8" s="79" t="s">
        <v>14</v>
      </c>
      <c r="C8" s="80"/>
      <c r="F8" s="14" t="s">
        <v>13</v>
      </c>
      <c r="G8" s="79" t="s">
        <v>15</v>
      </c>
      <c r="H8" s="62"/>
      <c r="I8" s="62"/>
      <c r="J8" s="62"/>
      <c r="K8" s="80"/>
    </row>
    <row r="9" spans="1:11" ht="25.5" customHeight="1" x14ac:dyDescent="0.35">
      <c r="A9" s="15">
        <v>1</v>
      </c>
      <c r="B9" s="50" t="s">
        <v>16</v>
      </c>
      <c r="C9" s="52"/>
      <c r="F9" s="15">
        <v>1</v>
      </c>
      <c r="G9" s="66" t="s">
        <v>17</v>
      </c>
      <c r="H9" s="67"/>
      <c r="I9" s="67"/>
      <c r="J9" s="67"/>
      <c r="K9" s="68"/>
    </row>
    <row r="10" spans="1:11" ht="27.5" customHeight="1" x14ac:dyDescent="0.35">
      <c r="A10" s="15">
        <v>2</v>
      </c>
      <c r="B10" s="50" t="s">
        <v>18</v>
      </c>
      <c r="C10" s="52"/>
      <c r="F10" s="15">
        <v>2</v>
      </c>
      <c r="G10" s="66" t="s">
        <v>19</v>
      </c>
      <c r="H10" s="67"/>
      <c r="I10" s="67"/>
      <c r="J10" s="67"/>
      <c r="K10" s="68"/>
    </row>
    <row r="11" spans="1:11" ht="28" customHeight="1" x14ac:dyDescent="0.35">
      <c r="A11" s="15">
        <v>3</v>
      </c>
      <c r="B11" s="50" t="s">
        <v>20</v>
      </c>
      <c r="C11" s="52"/>
      <c r="F11" s="15">
        <v>3</v>
      </c>
      <c r="G11" s="66" t="s">
        <v>21</v>
      </c>
      <c r="H11" s="67"/>
      <c r="I11" s="67"/>
      <c r="J11" s="67"/>
      <c r="K11" s="68"/>
    </row>
    <row r="12" spans="1:11" ht="35.5" customHeight="1" thickBot="1" x14ac:dyDescent="0.4">
      <c r="A12" s="16">
        <v>4</v>
      </c>
      <c r="B12" s="69" t="s">
        <v>22</v>
      </c>
      <c r="C12" s="70"/>
      <c r="F12" s="16">
        <v>4</v>
      </c>
      <c r="G12" s="53" t="s">
        <v>23</v>
      </c>
      <c r="H12" s="54"/>
      <c r="I12" s="54"/>
      <c r="J12" s="54"/>
      <c r="K12" s="55"/>
    </row>
    <row r="13" spans="1:11" ht="25.5" customHeight="1" x14ac:dyDescent="0.35"/>
    <row r="14" spans="1:11" x14ac:dyDescent="0.35">
      <c r="A14" s="17" t="s">
        <v>24</v>
      </c>
    </row>
    <row r="15" spans="1:11" ht="15" thickBot="1" x14ac:dyDescent="0.4"/>
    <row r="16" spans="1:11" ht="46.5" customHeight="1" x14ac:dyDescent="0.35">
      <c r="A16" s="18" t="s">
        <v>25</v>
      </c>
      <c r="B16" s="60" t="s">
        <v>26</v>
      </c>
      <c r="C16" s="61"/>
      <c r="D16" s="19" t="s">
        <v>27</v>
      </c>
      <c r="E16" s="20" t="s">
        <v>28</v>
      </c>
      <c r="F16" s="60" t="s">
        <v>29</v>
      </c>
      <c r="G16" s="62"/>
      <c r="H16" s="63" t="s">
        <v>30</v>
      </c>
      <c r="I16" s="64"/>
      <c r="J16" s="64"/>
      <c r="K16" s="65"/>
    </row>
    <row r="17" spans="1:11" ht="14.5" customHeight="1" x14ac:dyDescent="0.35">
      <c r="A17" s="15" t="s">
        <v>31</v>
      </c>
      <c r="B17" s="46" t="s">
        <v>32</v>
      </c>
      <c r="C17" s="47"/>
      <c r="D17" s="21">
        <v>0</v>
      </c>
      <c r="E17" s="22">
        <v>1</v>
      </c>
      <c r="F17" s="66">
        <v>1</v>
      </c>
      <c r="G17" s="49"/>
      <c r="H17" s="50" t="s">
        <v>33</v>
      </c>
      <c r="I17" s="51"/>
      <c r="J17" s="51"/>
      <c r="K17" s="52"/>
    </row>
    <row r="18" spans="1:11" ht="14.5" customHeight="1" x14ac:dyDescent="0.35">
      <c r="A18" s="15" t="s">
        <v>34</v>
      </c>
      <c r="B18" s="46" t="s">
        <v>35</v>
      </c>
      <c r="C18" s="47"/>
      <c r="D18" s="23">
        <v>1</v>
      </c>
      <c r="E18" s="22">
        <v>1</v>
      </c>
      <c r="F18" s="66">
        <v>1</v>
      </c>
      <c r="G18" s="49"/>
      <c r="H18" s="50" t="s">
        <v>33</v>
      </c>
      <c r="I18" s="51"/>
      <c r="J18" s="51"/>
      <c r="K18" s="52"/>
    </row>
    <row r="19" spans="1:11" ht="14.5" customHeight="1" x14ac:dyDescent="0.35">
      <c r="A19" s="15" t="s">
        <v>36</v>
      </c>
      <c r="B19" s="46" t="s">
        <v>37</v>
      </c>
      <c r="C19" s="47"/>
      <c r="D19" s="23">
        <v>5</v>
      </c>
      <c r="E19" s="22">
        <v>120</v>
      </c>
      <c r="F19" s="66">
        <v>120</v>
      </c>
      <c r="G19" s="49"/>
      <c r="H19" s="50" t="s">
        <v>33</v>
      </c>
      <c r="I19" s="51"/>
      <c r="J19" s="51"/>
      <c r="K19" s="52"/>
    </row>
    <row r="20" spans="1:11" ht="14.5" customHeight="1" x14ac:dyDescent="0.35">
      <c r="A20" s="15" t="s">
        <v>38</v>
      </c>
      <c r="B20" s="46" t="s">
        <v>39</v>
      </c>
      <c r="C20" s="47"/>
      <c r="D20" s="23">
        <v>-1</v>
      </c>
      <c r="E20" s="22" t="s">
        <v>40</v>
      </c>
      <c r="F20" s="66" t="s">
        <v>41</v>
      </c>
      <c r="G20" s="49"/>
      <c r="H20" s="50" t="s">
        <v>33</v>
      </c>
      <c r="I20" s="51"/>
      <c r="J20" s="51"/>
      <c r="K20" s="52"/>
    </row>
    <row r="21" spans="1:11" ht="14.5" customHeight="1" x14ac:dyDescent="0.35">
      <c r="A21" s="15" t="s">
        <v>42</v>
      </c>
      <c r="B21" s="46" t="s">
        <v>43</v>
      </c>
      <c r="C21" s="47"/>
      <c r="D21" s="23" t="s">
        <v>44</v>
      </c>
      <c r="E21" s="22" t="s">
        <v>45</v>
      </c>
      <c r="F21" s="66" t="s">
        <v>46</v>
      </c>
      <c r="G21" s="49"/>
      <c r="H21" s="50" t="s">
        <v>47</v>
      </c>
      <c r="I21" s="51"/>
      <c r="J21" s="51"/>
      <c r="K21" s="52"/>
    </row>
    <row r="22" spans="1:11" ht="35.5" customHeight="1" x14ac:dyDescent="0.35">
      <c r="A22" s="15" t="s">
        <v>48</v>
      </c>
      <c r="B22" s="46" t="s">
        <v>49</v>
      </c>
      <c r="C22" s="47"/>
      <c r="D22" s="24" t="s">
        <v>50</v>
      </c>
      <c r="E22" s="22" t="s">
        <v>51</v>
      </c>
      <c r="F22" s="66" t="s">
        <v>52</v>
      </c>
      <c r="G22" s="49"/>
      <c r="H22" s="50" t="s">
        <v>33</v>
      </c>
      <c r="I22" s="51"/>
      <c r="J22" s="51"/>
      <c r="K22" s="52"/>
    </row>
  </sheetData>
  <mergeCells count="34">
    <mergeCell ref="B9:C9"/>
    <mergeCell ref="G9:K9"/>
    <mergeCell ref="F1:K1"/>
    <mergeCell ref="H2:K2"/>
    <mergeCell ref="H6:K6"/>
    <mergeCell ref="B8:C8"/>
    <mergeCell ref="G8:K8"/>
    <mergeCell ref="B10:C10"/>
    <mergeCell ref="G10:K10"/>
    <mergeCell ref="B11:C11"/>
    <mergeCell ref="G11:K11"/>
    <mergeCell ref="B12:C12"/>
    <mergeCell ref="G12:K12"/>
    <mergeCell ref="B16:C16"/>
    <mergeCell ref="F16:G16"/>
    <mergeCell ref="H16:K16"/>
    <mergeCell ref="B17:C17"/>
    <mergeCell ref="F17:G17"/>
    <mergeCell ref="H17:K17"/>
    <mergeCell ref="B18:C18"/>
    <mergeCell ref="F18:G18"/>
    <mergeCell ref="H18:K18"/>
    <mergeCell ref="B19:C19"/>
    <mergeCell ref="F19:G19"/>
    <mergeCell ref="H19:K19"/>
    <mergeCell ref="B22:C22"/>
    <mergeCell ref="F22:G22"/>
    <mergeCell ref="H22:K22"/>
    <mergeCell ref="B20:C20"/>
    <mergeCell ref="F20:G20"/>
    <mergeCell ref="H20:K20"/>
    <mergeCell ref="B21:C21"/>
    <mergeCell ref="F21:G21"/>
    <mergeCell ref="H21:K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AA94-ACB2-43D1-810F-3037455AABD8}">
  <dimension ref="A1:K22"/>
  <sheetViews>
    <sheetView topLeftCell="A13" workbookViewId="0">
      <selection activeCell="E14" sqref="E14"/>
    </sheetView>
  </sheetViews>
  <sheetFormatPr defaultRowHeight="14.5" x14ac:dyDescent="0.35"/>
  <cols>
    <col min="3" max="3" width="33.7265625" customWidth="1"/>
    <col min="4" max="4" width="14.1796875" customWidth="1"/>
    <col min="5" max="5" width="26.6328125" customWidth="1"/>
    <col min="6" max="6" width="14.26953125" customWidth="1"/>
    <col min="16" max="16" width="18.453125" customWidth="1"/>
    <col min="17" max="17" width="21.453125" customWidth="1"/>
    <col min="18" max="18" width="30.1796875" customWidth="1"/>
    <col min="19" max="19" width="26.08984375" customWidth="1"/>
    <col min="20" max="20" width="26" customWidth="1"/>
  </cols>
  <sheetData>
    <row r="1" spans="1:11" ht="27.5" customHeight="1" x14ac:dyDescent="0.35">
      <c r="A1" s="1" t="s">
        <v>0</v>
      </c>
      <c r="B1" s="2"/>
      <c r="C1" s="2" t="s">
        <v>148</v>
      </c>
      <c r="D1" s="3" t="s">
        <v>2</v>
      </c>
      <c r="E1" s="2"/>
      <c r="F1" s="71" t="s">
        <v>3</v>
      </c>
      <c r="G1" s="72"/>
      <c r="H1" s="72"/>
      <c r="I1" s="72"/>
      <c r="J1" s="72"/>
      <c r="K1" s="73"/>
    </row>
    <row r="2" spans="1:11" ht="15" thickBot="1" x14ac:dyDescent="0.4">
      <c r="A2" s="4" t="s">
        <v>4</v>
      </c>
      <c r="B2" s="5"/>
      <c r="C2" s="5" t="s">
        <v>5</v>
      </c>
      <c r="D2" s="6" t="s">
        <v>6</v>
      </c>
      <c r="E2" s="58"/>
      <c r="F2" s="59"/>
      <c r="G2" s="6" t="s">
        <v>7</v>
      </c>
      <c r="H2" s="58">
        <v>1</v>
      </c>
      <c r="I2" s="74"/>
      <c r="J2" s="74"/>
      <c r="K2" s="75"/>
    </row>
    <row r="4" spans="1:11" x14ac:dyDescent="0.35">
      <c r="A4" s="7" t="s">
        <v>8</v>
      </c>
    </row>
    <row r="5" spans="1:11" ht="15" thickBot="1" x14ac:dyDescent="0.4"/>
    <row r="6" spans="1:11" ht="15" thickBot="1" x14ac:dyDescent="0.4">
      <c r="A6" s="8" t="s">
        <v>9</v>
      </c>
      <c r="B6" s="9"/>
      <c r="C6" s="10" t="s">
        <v>5</v>
      </c>
      <c r="D6" s="11" t="s">
        <v>10</v>
      </c>
      <c r="E6" s="56">
        <v>46049</v>
      </c>
      <c r="F6" s="57"/>
      <c r="G6" s="11" t="s">
        <v>11</v>
      </c>
      <c r="H6" s="76" t="s">
        <v>12</v>
      </c>
      <c r="I6" s="77"/>
      <c r="J6" s="77"/>
      <c r="K6" s="78"/>
    </row>
    <row r="7" spans="1:11" ht="15" thickBot="1" x14ac:dyDescent="0.4"/>
    <row r="8" spans="1:11" x14ac:dyDescent="0.35">
      <c r="A8" s="14" t="s">
        <v>13</v>
      </c>
      <c r="B8" s="79" t="s">
        <v>14</v>
      </c>
      <c r="C8" s="80"/>
      <c r="F8" s="14" t="s">
        <v>13</v>
      </c>
      <c r="G8" s="79" t="s">
        <v>15</v>
      </c>
      <c r="H8" s="62"/>
      <c r="I8" s="62"/>
      <c r="J8" s="62"/>
      <c r="K8" s="80"/>
    </row>
    <row r="9" spans="1:11" ht="25.5" customHeight="1" x14ac:dyDescent="0.35">
      <c r="A9" s="15">
        <v>1</v>
      </c>
      <c r="B9" s="50" t="s">
        <v>16</v>
      </c>
      <c r="C9" s="52"/>
      <c r="F9" s="15">
        <v>1</v>
      </c>
      <c r="G9" s="66" t="s">
        <v>17</v>
      </c>
      <c r="H9" s="67"/>
      <c r="I9" s="67"/>
      <c r="J9" s="67"/>
      <c r="K9" s="68"/>
    </row>
    <row r="10" spans="1:11" ht="27.5" customHeight="1" x14ac:dyDescent="0.35">
      <c r="A10" s="15">
        <v>2</v>
      </c>
      <c r="B10" s="50" t="s">
        <v>18</v>
      </c>
      <c r="C10" s="52"/>
      <c r="F10" s="15">
        <v>2</v>
      </c>
      <c r="G10" s="66" t="s">
        <v>19</v>
      </c>
      <c r="H10" s="67"/>
      <c r="I10" s="67"/>
      <c r="J10" s="67"/>
      <c r="K10" s="68"/>
    </row>
    <row r="11" spans="1:11" ht="28" customHeight="1" x14ac:dyDescent="0.35">
      <c r="A11" s="15">
        <v>3</v>
      </c>
      <c r="B11" s="50" t="s">
        <v>20</v>
      </c>
      <c r="C11" s="52"/>
      <c r="F11" s="15">
        <v>3</v>
      </c>
      <c r="G11" s="66" t="s">
        <v>21</v>
      </c>
      <c r="H11" s="67"/>
      <c r="I11" s="67"/>
      <c r="J11" s="67"/>
      <c r="K11" s="68"/>
    </row>
    <row r="12" spans="1:11" ht="35.5" customHeight="1" thickBot="1" x14ac:dyDescent="0.4">
      <c r="A12" s="16">
        <v>4</v>
      </c>
      <c r="B12" s="69" t="s">
        <v>22</v>
      </c>
      <c r="C12" s="70"/>
      <c r="F12" s="16">
        <v>4</v>
      </c>
      <c r="G12" s="53" t="s">
        <v>23</v>
      </c>
      <c r="H12" s="54"/>
      <c r="I12" s="54"/>
      <c r="J12" s="54"/>
      <c r="K12" s="55"/>
    </row>
    <row r="13" spans="1:11" ht="25.5" customHeight="1" x14ac:dyDescent="0.35"/>
    <row r="14" spans="1:11" x14ac:dyDescent="0.35">
      <c r="A14" s="17" t="s">
        <v>24</v>
      </c>
    </row>
    <row r="15" spans="1:11" ht="15" thickBot="1" x14ac:dyDescent="0.4"/>
    <row r="16" spans="1:11" ht="46.5" customHeight="1" x14ac:dyDescent="0.35">
      <c r="A16" s="18" t="s">
        <v>25</v>
      </c>
      <c r="B16" s="60" t="s">
        <v>26</v>
      </c>
      <c r="C16" s="61"/>
      <c r="D16" s="19" t="s">
        <v>27</v>
      </c>
      <c r="E16" s="20" t="s">
        <v>28</v>
      </c>
      <c r="F16" s="60" t="s">
        <v>29</v>
      </c>
      <c r="G16" s="62"/>
      <c r="H16" s="63" t="s">
        <v>30</v>
      </c>
      <c r="I16" s="64"/>
      <c r="J16" s="64"/>
      <c r="K16" s="65"/>
    </row>
    <row r="17" spans="1:11" ht="14.5" customHeight="1" x14ac:dyDescent="0.35">
      <c r="A17" s="15" t="s">
        <v>31</v>
      </c>
      <c r="B17" s="46" t="s">
        <v>32</v>
      </c>
      <c r="C17" s="47"/>
      <c r="D17" s="21">
        <v>0</v>
      </c>
      <c r="E17" s="22">
        <v>1</v>
      </c>
      <c r="F17" s="66">
        <v>1</v>
      </c>
      <c r="G17" s="49"/>
      <c r="H17" s="50" t="s">
        <v>33</v>
      </c>
      <c r="I17" s="51"/>
      <c r="J17" s="51"/>
      <c r="K17" s="52"/>
    </row>
    <row r="18" spans="1:11" ht="14.5" customHeight="1" x14ac:dyDescent="0.35">
      <c r="A18" s="15" t="s">
        <v>34</v>
      </c>
      <c r="B18" s="46" t="s">
        <v>35</v>
      </c>
      <c r="C18" s="47"/>
      <c r="D18" s="23">
        <v>1</v>
      </c>
      <c r="E18" s="22">
        <v>1</v>
      </c>
      <c r="F18" s="66">
        <v>1</v>
      </c>
      <c r="G18" s="49"/>
      <c r="H18" s="50" t="s">
        <v>33</v>
      </c>
      <c r="I18" s="51"/>
      <c r="J18" s="51"/>
      <c r="K18" s="52"/>
    </row>
    <row r="19" spans="1:11" ht="14.5" customHeight="1" x14ac:dyDescent="0.35">
      <c r="A19" s="15" t="s">
        <v>36</v>
      </c>
      <c r="B19" s="46" t="s">
        <v>37</v>
      </c>
      <c r="C19" s="47"/>
      <c r="D19" s="23">
        <v>5</v>
      </c>
      <c r="E19" s="22">
        <v>120</v>
      </c>
      <c r="F19" s="66">
        <v>120</v>
      </c>
      <c r="G19" s="49"/>
      <c r="H19" s="50" t="s">
        <v>33</v>
      </c>
      <c r="I19" s="51"/>
      <c r="J19" s="51"/>
      <c r="K19" s="52"/>
    </row>
    <row r="20" spans="1:11" ht="14.5" customHeight="1" x14ac:dyDescent="0.35">
      <c r="A20" s="15" t="s">
        <v>38</v>
      </c>
      <c r="B20" s="46" t="s">
        <v>39</v>
      </c>
      <c r="C20" s="47"/>
      <c r="D20" s="23">
        <v>-1</v>
      </c>
      <c r="E20" s="22" t="s">
        <v>40</v>
      </c>
      <c r="F20" s="66" t="s">
        <v>41</v>
      </c>
      <c r="G20" s="49"/>
      <c r="H20" s="50" t="s">
        <v>33</v>
      </c>
      <c r="I20" s="51"/>
      <c r="J20" s="51"/>
      <c r="K20" s="52"/>
    </row>
    <row r="21" spans="1:11" ht="14.5" customHeight="1" x14ac:dyDescent="0.35">
      <c r="A21" s="15" t="s">
        <v>42</v>
      </c>
      <c r="B21" s="46" t="s">
        <v>43</v>
      </c>
      <c r="C21" s="47"/>
      <c r="D21" s="23" t="s">
        <v>44</v>
      </c>
      <c r="E21" s="22" t="s">
        <v>45</v>
      </c>
      <c r="F21" s="66" t="s">
        <v>46</v>
      </c>
      <c r="G21" s="49"/>
      <c r="H21" s="50" t="s">
        <v>47</v>
      </c>
      <c r="I21" s="51"/>
      <c r="J21" s="51"/>
      <c r="K21" s="52"/>
    </row>
    <row r="22" spans="1:11" ht="35.5" customHeight="1" x14ac:dyDescent="0.35">
      <c r="A22" s="15" t="s">
        <v>48</v>
      </c>
      <c r="B22" s="46" t="s">
        <v>49</v>
      </c>
      <c r="C22" s="47"/>
      <c r="D22" s="24" t="s">
        <v>50</v>
      </c>
      <c r="E22" s="22" t="s">
        <v>51</v>
      </c>
      <c r="F22" s="66" t="s">
        <v>52</v>
      </c>
      <c r="G22" s="49"/>
      <c r="H22" s="50" t="s">
        <v>33</v>
      </c>
      <c r="I22" s="51"/>
      <c r="J22" s="51"/>
      <c r="K22" s="52"/>
    </row>
  </sheetData>
  <mergeCells count="36">
    <mergeCell ref="B9:C9"/>
    <mergeCell ref="G9:K9"/>
    <mergeCell ref="F1:K1"/>
    <mergeCell ref="H2:K2"/>
    <mergeCell ref="H6:K6"/>
    <mergeCell ref="B8:C8"/>
    <mergeCell ref="G8:K8"/>
    <mergeCell ref="B10:C10"/>
    <mergeCell ref="G10:K10"/>
    <mergeCell ref="B11:C11"/>
    <mergeCell ref="G11:K11"/>
    <mergeCell ref="B12:C12"/>
    <mergeCell ref="G12:K12"/>
    <mergeCell ref="H19:K19"/>
    <mergeCell ref="B16:C16"/>
    <mergeCell ref="F16:G16"/>
    <mergeCell ref="H16:K16"/>
    <mergeCell ref="B17:C17"/>
    <mergeCell ref="F17:G17"/>
    <mergeCell ref="H17:K17"/>
    <mergeCell ref="B22:C22"/>
    <mergeCell ref="F22:G22"/>
    <mergeCell ref="H22:K22"/>
    <mergeCell ref="E6:F6"/>
    <mergeCell ref="E2:F2"/>
    <mergeCell ref="B20:C20"/>
    <mergeCell ref="F20:G20"/>
    <mergeCell ref="H20:K20"/>
    <mergeCell ref="B21:C21"/>
    <mergeCell ref="F21:G21"/>
    <mergeCell ref="H21:K21"/>
    <mergeCell ref="B18:C18"/>
    <mergeCell ref="F18:G18"/>
    <mergeCell ref="H18:K18"/>
    <mergeCell ref="B19:C19"/>
    <mergeCell ref="F19:G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D398-4243-482C-9737-E5F2F0D6892C}">
  <dimension ref="A1:X15"/>
  <sheetViews>
    <sheetView workbookViewId="0">
      <selection activeCell="H18" sqref="H18"/>
    </sheetView>
  </sheetViews>
  <sheetFormatPr defaultRowHeight="14.5" x14ac:dyDescent="0.35"/>
  <cols>
    <col min="2" max="2" width="19.26953125" customWidth="1"/>
    <col min="3" max="3" width="17" customWidth="1"/>
    <col min="11" max="11" width="12.90625" customWidth="1"/>
    <col min="16" max="16" width="17.26953125" customWidth="1"/>
  </cols>
  <sheetData>
    <row r="1" spans="1:24" ht="20.5" thickBot="1" x14ac:dyDescent="0.4">
      <c r="D1" s="101" t="s">
        <v>53</v>
      </c>
      <c r="E1" s="93"/>
      <c r="F1" s="93"/>
    </row>
    <row r="2" spans="1:24" ht="15" thickBot="1" x14ac:dyDescent="0.4">
      <c r="A2" s="102" t="s">
        <v>54</v>
      </c>
      <c r="B2" s="103"/>
      <c r="C2" s="104" t="s">
        <v>55</v>
      </c>
      <c r="D2" s="105"/>
      <c r="E2" s="100"/>
      <c r="F2" s="106" t="s">
        <v>56</v>
      </c>
      <c r="G2" s="105"/>
      <c r="H2" s="107" t="s">
        <v>5</v>
      </c>
      <c r="I2" s="108"/>
      <c r="J2" s="108"/>
      <c r="K2" s="109"/>
    </row>
    <row r="3" spans="1:24" ht="15" thickBot="1" x14ac:dyDescent="0.4">
      <c r="A3" s="110" t="s">
        <v>57</v>
      </c>
      <c r="B3" s="111"/>
      <c r="C3" s="112">
        <v>1</v>
      </c>
      <c r="D3" s="113"/>
      <c r="E3" s="114"/>
      <c r="F3" s="115" t="s">
        <v>58</v>
      </c>
      <c r="G3" s="113"/>
      <c r="H3" s="107"/>
      <c r="I3" s="108"/>
      <c r="J3" s="108"/>
      <c r="K3" s="109"/>
    </row>
    <row r="4" spans="1:24" ht="15" thickBot="1" x14ac:dyDescent="0.4">
      <c r="A4" s="25" t="s">
        <v>59</v>
      </c>
      <c r="B4" s="94" t="s">
        <v>60</v>
      </c>
      <c r="C4" s="95"/>
      <c r="D4" s="95"/>
      <c r="E4" s="95"/>
      <c r="F4" s="95"/>
      <c r="G4" s="95"/>
      <c r="H4" s="95"/>
      <c r="I4" s="95"/>
      <c r="J4" s="95"/>
      <c r="K4" s="96"/>
    </row>
    <row r="6" spans="1:24" x14ac:dyDescent="0.35">
      <c r="B6" s="97" t="s">
        <v>61</v>
      </c>
      <c r="C6" s="93"/>
      <c r="D6" s="26">
        <v>0.67</v>
      </c>
      <c r="E6" s="26"/>
      <c r="H6" s="98" t="s">
        <v>62</v>
      </c>
      <c r="I6" s="93"/>
      <c r="J6" s="93"/>
      <c r="K6" s="93"/>
    </row>
    <row r="7" spans="1:24" x14ac:dyDescent="0.35">
      <c r="B7" s="97" t="s">
        <v>63</v>
      </c>
      <c r="C7" s="93"/>
      <c r="D7" s="26">
        <v>1</v>
      </c>
      <c r="E7" s="26"/>
    </row>
    <row r="8" spans="1:24" ht="15" thickBot="1" x14ac:dyDescent="0.4"/>
    <row r="9" spans="1:24" ht="26" x14ac:dyDescent="0.35">
      <c r="A9" s="27" t="s">
        <v>64</v>
      </c>
      <c r="B9" s="99" t="s">
        <v>65</v>
      </c>
      <c r="C9" s="100"/>
      <c r="D9" s="28" t="s">
        <v>66</v>
      </c>
      <c r="E9" s="28" t="s">
        <v>67</v>
      </c>
      <c r="F9" s="28" t="s">
        <v>68</v>
      </c>
      <c r="G9" s="28" t="s">
        <v>69</v>
      </c>
      <c r="H9" s="28" t="s">
        <v>46</v>
      </c>
      <c r="I9" s="28" t="s">
        <v>70</v>
      </c>
      <c r="J9" s="28" t="s">
        <v>71</v>
      </c>
      <c r="K9" s="29" t="s">
        <v>61</v>
      </c>
      <c r="X9" s="30"/>
    </row>
    <row r="10" spans="1:24" x14ac:dyDescent="0.35">
      <c r="A10" s="31">
        <v>1</v>
      </c>
      <c r="B10" s="86" t="s">
        <v>72</v>
      </c>
      <c r="C10" s="87"/>
      <c r="D10" s="23">
        <v>3</v>
      </c>
      <c r="E10" s="23">
        <v>3</v>
      </c>
      <c r="F10" s="23">
        <v>0</v>
      </c>
      <c r="G10" s="23">
        <v>0</v>
      </c>
      <c r="H10" s="23">
        <v>0</v>
      </c>
      <c r="I10" s="23">
        <v>0</v>
      </c>
      <c r="J10" s="23">
        <v>3</v>
      </c>
      <c r="K10" s="32">
        <v>1</v>
      </c>
      <c r="X10" s="30"/>
    </row>
    <row r="11" spans="1:24" x14ac:dyDescent="0.35">
      <c r="A11" s="31">
        <v>2</v>
      </c>
      <c r="B11" s="86" t="s">
        <v>73</v>
      </c>
      <c r="C11" s="87"/>
      <c r="D11" s="23">
        <v>1</v>
      </c>
      <c r="E11" s="23">
        <v>1</v>
      </c>
      <c r="F11" s="23">
        <v>0</v>
      </c>
      <c r="G11" s="23">
        <v>0</v>
      </c>
      <c r="H11" s="23">
        <v>0</v>
      </c>
      <c r="I11" s="23">
        <v>0</v>
      </c>
      <c r="J11" s="23">
        <v>1</v>
      </c>
      <c r="K11" s="32">
        <v>1</v>
      </c>
      <c r="X11" s="30"/>
    </row>
    <row r="12" spans="1:24" x14ac:dyDescent="0.35">
      <c r="A12" s="31">
        <v>3</v>
      </c>
      <c r="B12" s="86" t="s">
        <v>74</v>
      </c>
      <c r="C12" s="87"/>
      <c r="D12" s="23">
        <v>1</v>
      </c>
      <c r="E12" s="23">
        <v>1</v>
      </c>
      <c r="F12" s="23">
        <v>0</v>
      </c>
      <c r="G12" s="23">
        <v>0</v>
      </c>
      <c r="H12" s="23">
        <v>0</v>
      </c>
      <c r="I12" s="23">
        <v>0</v>
      </c>
      <c r="J12" s="23">
        <v>1</v>
      </c>
      <c r="K12" s="32">
        <v>1</v>
      </c>
      <c r="X12" s="30"/>
    </row>
    <row r="13" spans="1:24" ht="15" thickBot="1" x14ac:dyDescent="0.4">
      <c r="A13" s="31">
        <v>4</v>
      </c>
      <c r="B13" s="86" t="s">
        <v>75</v>
      </c>
      <c r="C13" s="87"/>
      <c r="D13" s="23">
        <v>0</v>
      </c>
      <c r="E13" s="23">
        <v>0</v>
      </c>
      <c r="F13" s="23">
        <v>0</v>
      </c>
      <c r="G13" s="23">
        <v>0</v>
      </c>
      <c r="H13" s="23">
        <v>1</v>
      </c>
      <c r="I13" s="23">
        <v>0</v>
      </c>
      <c r="J13" s="23">
        <v>1</v>
      </c>
      <c r="K13" s="32">
        <v>0</v>
      </c>
    </row>
    <row r="14" spans="1:24" ht="15" thickBot="1" x14ac:dyDescent="0.4">
      <c r="A14" s="88"/>
      <c r="B14" s="89"/>
      <c r="C14" s="89"/>
      <c r="D14" s="90"/>
      <c r="E14" s="90"/>
      <c r="F14" s="90"/>
      <c r="G14" s="90"/>
      <c r="H14" s="90"/>
      <c r="I14" s="90"/>
      <c r="J14" s="90"/>
      <c r="K14" s="91"/>
    </row>
    <row r="15" spans="1:24" x14ac:dyDescent="0.35">
      <c r="A15" s="33" t="s">
        <v>76</v>
      </c>
      <c r="B15" s="92" t="s">
        <v>71</v>
      </c>
      <c r="C15" s="93"/>
      <c r="D15" s="34">
        <f t="shared" ref="D15:J15" si="0">SUM(D10:D13)</f>
        <v>5</v>
      </c>
      <c r="E15" s="34">
        <f t="shared" si="0"/>
        <v>5</v>
      </c>
      <c r="F15" s="34">
        <f t="shared" si="0"/>
        <v>0</v>
      </c>
      <c r="G15" s="34">
        <f t="shared" si="0"/>
        <v>0</v>
      </c>
      <c r="H15" s="34">
        <f t="shared" si="0"/>
        <v>1</v>
      </c>
      <c r="I15" s="34">
        <f t="shared" si="0"/>
        <v>0</v>
      </c>
      <c r="J15" s="34">
        <f t="shared" si="0"/>
        <v>6</v>
      </c>
      <c r="K15" s="35">
        <f>67%</f>
        <v>0.67</v>
      </c>
    </row>
  </sheetData>
  <mergeCells count="20">
    <mergeCell ref="H2:K2"/>
    <mergeCell ref="A3:B3"/>
    <mergeCell ref="C3:E3"/>
    <mergeCell ref="F3:G3"/>
    <mergeCell ref="H3:K3"/>
    <mergeCell ref="B10:C10"/>
    <mergeCell ref="D1:F1"/>
    <mergeCell ref="A2:B2"/>
    <mergeCell ref="C2:E2"/>
    <mergeCell ref="F2:G2"/>
    <mergeCell ref="B4:K4"/>
    <mergeCell ref="B6:C6"/>
    <mergeCell ref="H6:K6"/>
    <mergeCell ref="B7:C7"/>
    <mergeCell ref="B9:C9"/>
    <mergeCell ref="B11:C11"/>
    <mergeCell ref="B12:C12"/>
    <mergeCell ref="B13:C13"/>
    <mergeCell ref="A14:K14"/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Tuan6_Bai1</vt:lpstr>
      <vt:lpstr>Tuan6_Bai2</vt:lpstr>
      <vt:lpstr>Tuan6_Bai3</vt:lpstr>
      <vt:lpstr>Tuan6_Bai4</vt:lpstr>
      <vt:lpstr>Tuan6_Bai5</vt:lpstr>
      <vt:lpstr>Tuan6_Bai6.</vt:lpstr>
      <vt:lpstr>TestCaseSummary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Minh Nhật</dc:creator>
  <cp:lastModifiedBy>Trần Minh Nhật</cp:lastModifiedBy>
  <dcterms:created xsi:type="dcterms:W3CDTF">2026-02-03T07:10:05Z</dcterms:created>
  <dcterms:modified xsi:type="dcterms:W3CDTF">2026-02-03T09:15:17Z</dcterms:modified>
</cp:coreProperties>
</file>